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:\Mi unidad\DOCENTE\MV 2023\examenes finales analisis\resultados segundo periodo\"/>
    </mc:Choice>
  </mc:AlternateContent>
  <xr:revisionPtr revIDLastSave="0" documentId="13_ncr:1_{B854E64F-71A5-4037-A509-45A96B957BD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 3" sheetId="1" r:id="rId1"/>
    <sheet name="uno" sheetId="6" r:id="rId2"/>
    <sheet name="Grado 9a" sheetId="10" r:id="rId3"/>
    <sheet name="Grado 10a" sheetId="12" r:id="rId4"/>
    <sheet name="Grado 10b" sheetId="13" r:id="rId5"/>
    <sheet name="Grado 11" sheetId="14" r:id="rId6"/>
  </sheets>
  <definedNames>
    <definedName name="_xlnm._FilterDatabase" localSheetId="1" hidden="1">uno!$A$1:$AV$122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5" i="14" l="1"/>
  <c r="AN35" i="14"/>
  <c r="AM35" i="14"/>
  <c r="AL35" i="14"/>
  <c r="AK35" i="14"/>
  <c r="AJ35" i="14"/>
  <c r="AI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AP35" i="14" s="1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AP34" i="14" s="1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AP33" i="14" s="1"/>
  <c r="Y33" i="14"/>
  <c r="X33" i="14"/>
  <c r="W33" i="14"/>
  <c r="V33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AP32" i="14" s="1"/>
  <c r="V32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AP31" i="14" s="1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AP30" i="14" s="1"/>
  <c r="X30" i="14"/>
  <c r="W30" i="14"/>
  <c r="V30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AP29" i="14" s="1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AP28" i="14" s="1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AP27" i="14" s="1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AP26" i="14" s="1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AP25" i="14" s="1"/>
  <c r="Y25" i="14"/>
  <c r="X25" i="14"/>
  <c r="W25" i="14"/>
  <c r="V25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AP24" i="14" s="1"/>
  <c r="V24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AP23" i="14" s="1"/>
  <c r="V23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AP22" i="14" s="1"/>
  <c r="X22" i="14"/>
  <c r="W22" i="14"/>
  <c r="V22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AP21" i="14" s="1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AP20" i="14" s="1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AP19" i="14" s="1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AP18" i="14" s="1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AP17" i="14" s="1"/>
  <c r="Y17" i="14"/>
  <c r="X17" i="14"/>
  <c r="W17" i="14"/>
  <c r="V17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AP16" i="14" s="1"/>
  <c r="V16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AP15" i="14" s="1"/>
  <c r="V15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AP14" i="14" s="1"/>
  <c r="X14" i="14"/>
  <c r="W14" i="14"/>
  <c r="V14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AP13" i="14" s="1"/>
  <c r="AO12" i="14"/>
  <c r="AN12" i="14"/>
  <c r="AM12" i="14"/>
  <c r="AL12" i="14"/>
  <c r="AK12" i="14"/>
  <c r="AJ12" i="14"/>
  <c r="AI12" i="14"/>
  <c r="AI36" i="14" s="1"/>
  <c r="AH12" i="14"/>
  <c r="AG12" i="14"/>
  <c r="AF12" i="14"/>
  <c r="AE12" i="14"/>
  <c r="AD12" i="14"/>
  <c r="AC12" i="14"/>
  <c r="AB12" i="14"/>
  <c r="AA12" i="14"/>
  <c r="AA36" i="14" s="1"/>
  <c r="Z12" i="14"/>
  <c r="Y12" i="14"/>
  <c r="X12" i="14"/>
  <c r="W12" i="14"/>
  <c r="V12" i="14"/>
  <c r="AP12" i="14" s="1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AP11" i="14" s="1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AP10" i="14" s="1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AP8" i="14" s="1"/>
  <c r="V8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AP7" i="14" s="1"/>
  <c r="V7" i="14"/>
  <c r="AO6" i="14"/>
  <c r="AN6" i="14"/>
  <c r="AM6" i="14"/>
  <c r="AL6" i="14"/>
  <c r="AK6" i="14"/>
  <c r="AJ6" i="14"/>
  <c r="AJ36" i="14" s="1"/>
  <c r="AI6" i="14"/>
  <c r="AH6" i="14"/>
  <c r="AG6" i="14"/>
  <c r="AF6" i="14"/>
  <c r="AE6" i="14"/>
  <c r="AD6" i="14"/>
  <c r="AC6" i="14"/>
  <c r="AB6" i="14"/>
  <c r="AB36" i="14" s="1"/>
  <c r="AA6" i="14"/>
  <c r="Z6" i="14"/>
  <c r="Y6" i="14"/>
  <c r="AP6" i="14" s="1"/>
  <c r="X6" i="14"/>
  <c r="W6" i="14"/>
  <c r="V6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AP5" i="14" s="1"/>
  <c r="AQ4" i="14" a="1"/>
  <c r="AQ4" i="14" s="1"/>
  <c r="AO4" i="14"/>
  <c r="AO36" i="14" s="1"/>
  <c r="AN4" i="14"/>
  <c r="AN36" i="14" s="1"/>
  <c r="AM4" i="14"/>
  <c r="AM36" i="14" s="1"/>
  <c r="AL4" i="14"/>
  <c r="AL36" i="14" s="1"/>
  <c r="AK4" i="14"/>
  <c r="AK36" i="14" s="1"/>
  <c r="AJ4" i="14"/>
  <c r="AI4" i="14"/>
  <c r="AH4" i="14"/>
  <c r="AH36" i="14" s="1"/>
  <c r="AG4" i="14"/>
  <c r="AG36" i="14" s="1"/>
  <c r="AF4" i="14"/>
  <c r="AF36" i="14" s="1"/>
  <c r="AE4" i="14"/>
  <c r="AE36" i="14" s="1"/>
  <c r="AD4" i="14"/>
  <c r="AD36" i="14" s="1"/>
  <c r="AC4" i="14"/>
  <c r="AC36" i="14" s="1"/>
  <c r="AB4" i="14"/>
  <c r="AA4" i="14"/>
  <c r="Z4" i="14"/>
  <c r="Z36" i="14" s="1"/>
  <c r="Y4" i="14"/>
  <c r="Y36" i="14" s="1"/>
  <c r="X4" i="14"/>
  <c r="X36" i="14" s="1"/>
  <c r="W4" i="14"/>
  <c r="W36" i="14" s="1"/>
  <c r="V4" i="14"/>
  <c r="V36" i="14" s="1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AP35" i="13" s="1"/>
  <c r="Y35" i="13"/>
  <c r="X35" i="13"/>
  <c r="W35" i="13"/>
  <c r="V35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AP34" i="13" s="1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AP33" i="13" s="1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AP32" i="13" s="1"/>
  <c r="X32" i="13"/>
  <c r="W32" i="13"/>
  <c r="V32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AP31" i="13" s="1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AP30" i="13" s="1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AP29" i="13" s="1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AP28" i="13" s="1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AP27" i="13" s="1"/>
  <c r="Y27" i="13"/>
  <c r="X27" i="13"/>
  <c r="W27" i="13"/>
  <c r="V27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AP26" i="13" s="1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AP25" i="13" s="1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AP24" i="13" s="1"/>
  <c r="X24" i="13"/>
  <c r="W24" i="13"/>
  <c r="V24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AP23" i="13" s="1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AP22" i="13" s="1"/>
  <c r="V22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AP21" i="13" s="1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AP20" i="13" s="1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AP19" i="13" s="1"/>
  <c r="Y19" i="13"/>
  <c r="X19" i="13"/>
  <c r="W19" i="13"/>
  <c r="V19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AP18" i="13" s="1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AP17" i="13" s="1"/>
  <c r="V17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AP16" i="13" s="1"/>
  <c r="X16" i="13"/>
  <c r="W16" i="13"/>
  <c r="V16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AP15" i="13" s="1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AP14" i="13" s="1"/>
  <c r="V14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AP13" i="13" s="1"/>
  <c r="AO12" i="13"/>
  <c r="AN12" i="13"/>
  <c r="AM12" i="13"/>
  <c r="AL12" i="13"/>
  <c r="AK12" i="13"/>
  <c r="AK36" i="13" s="1"/>
  <c r="AJ12" i="13"/>
  <c r="AI12" i="13"/>
  <c r="AH12" i="13"/>
  <c r="AG12" i="13"/>
  <c r="AF12" i="13"/>
  <c r="AE12" i="13"/>
  <c r="AD12" i="13"/>
  <c r="AC12" i="13"/>
  <c r="AC36" i="13" s="1"/>
  <c r="AB12" i="13"/>
  <c r="AA12" i="13"/>
  <c r="Z12" i="13"/>
  <c r="Y12" i="13"/>
  <c r="X12" i="13"/>
  <c r="W12" i="13"/>
  <c r="V12" i="13"/>
  <c r="AP12" i="13" s="1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AP11" i="13" s="1"/>
  <c r="Y11" i="13"/>
  <c r="X11" i="13"/>
  <c r="W11" i="13"/>
  <c r="V11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AP10" i="13" s="1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AP9" i="13" s="1"/>
  <c r="V9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AP8" i="13" s="1"/>
  <c r="X8" i="13"/>
  <c r="W8" i="13"/>
  <c r="V8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AP7" i="13" s="1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AP6" i="13" s="1"/>
  <c r="V6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AP5" i="13" s="1"/>
  <c r="AQ4" i="13"/>
  <c r="AQ4" i="13" a="1"/>
  <c r="AO4" i="13"/>
  <c r="AO36" i="13" s="1"/>
  <c r="AN4" i="13"/>
  <c r="AN36" i="13" s="1"/>
  <c r="AM4" i="13"/>
  <c r="AM36" i="13" s="1"/>
  <c r="AL4" i="13"/>
  <c r="AL36" i="13" s="1"/>
  <c r="AK4" i="13"/>
  <c r="AJ4" i="13"/>
  <c r="AJ36" i="13" s="1"/>
  <c r="AI4" i="13"/>
  <c r="AI36" i="13" s="1"/>
  <c r="AH4" i="13"/>
  <c r="AH36" i="13" s="1"/>
  <c r="AG4" i="13"/>
  <c r="AG36" i="13" s="1"/>
  <c r="AF4" i="13"/>
  <c r="AF36" i="13" s="1"/>
  <c r="AE4" i="13"/>
  <c r="AE36" i="13" s="1"/>
  <c r="AD4" i="13"/>
  <c r="AD36" i="13" s="1"/>
  <c r="AC4" i="13"/>
  <c r="AB4" i="13"/>
  <c r="AB36" i="13" s="1"/>
  <c r="AA4" i="13"/>
  <c r="AA36" i="13" s="1"/>
  <c r="Z4" i="13"/>
  <c r="Z36" i="13" s="1"/>
  <c r="Y4" i="13"/>
  <c r="Y36" i="13" s="1"/>
  <c r="X4" i="13"/>
  <c r="X36" i="13" s="1"/>
  <c r="W4" i="13"/>
  <c r="W36" i="13" s="1"/>
  <c r="V4" i="13"/>
  <c r="V36" i="13" s="1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AP35" i="12" s="1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AP34" i="12" s="1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AP33" i="12" s="1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AP32" i="12" s="1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AP31" i="12" s="1"/>
  <c r="Y31" i="12"/>
  <c r="X31" i="12"/>
  <c r="W31" i="12"/>
  <c r="V31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AP30" i="12" s="1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AP29" i="12" s="1"/>
  <c r="Y29" i="12"/>
  <c r="X29" i="12"/>
  <c r="W29" i="12"/>
  <c r="V29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AP28" i="12" s="1"/>
  <c r="V28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AP27" i="12" s="1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AP26" i="12" s="1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AP25" i="12" s="1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AP24" i="12" s="1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AP23" i="12" s="1"/>
  <c r="Y23" i="12"/>
  <c r="X23" i="12"/>
  <c r="W23" i="12"/>
  <c r="V23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AP22" i="12" s="1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AP21" i="12" s="1"/>
  <c r="Y21" i="12"/>
  <c r="X21" i="12"/>
  <c r="W21" i="12"/>
  <c r="V21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AP20" i="12" s="1"/>
  <c r="V20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AP19" i="12" s="1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AP18" i="12" s="1"/>
  <c r="W18" i="12"/>
  <c r="V18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AP17" i="12" s="1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AP16" i="12" s="1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AP15" i="12" s="1"/>
  <c r="W15" i="12"/>
  <c r="V15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AP14" i="12" s="1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AP13" i="12" s="1"/>
  <c r="Y13" i="12"/>
  <c r="X13" i="12"/>
  <c r="W13" i="12"/>
  <c r="V13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AP12" i="12" s="1"/>
  <c r="V12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AP11" i="12" s="1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AP10" i="12" s="1"/>
  <c r="W10" i="12"/>
  <c r="V10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AP9" i="12" s="1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AP8" i="12" s="1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AP7" i="12" s="1"/>
  <c r="W7" i="12"/>
  <c r="V7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AP6" i="12" s="1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AP5" i="12" s="1"/>
  <c r="Y5" i="12"/>
  <c r="X5" i="12"/>
  <c r="W5" i="12"/>
  <c r="V5" i="12"/>
  <c r="AQ4" i="12" a="1"/>
  <c r="AQ4" i="12" s="1"/>
  <c r="AO4" i="12"/>
  <c r="AO36" i="12" s="1"/>
  <c r="AN4" i="12"/>
  <c r="AN36" i="12" s="1"/>
  <c r="AM4" i="12"/>
  <c r="AM36" i="12" s="1"/>
  <c r="AL4" i="12"/>
  <c r="AL36" i="12" s="1"/>
  <c r="AK4" i="12"/>
  <c r="AK36" i="12" s="1"/>
  <c r="AJ4" i="12"/>
  <c r="AJ36" i="12" s="1"/>
  <c r="AI4" i="12"/>
  <c r="AI36" i="12" s="1"/>
  <c r="AH4" i="12"/>
  <c r="AH36" i="12" s="1"/>
  <c r="AG4" i="12"/>
  <c r="AG36" i="12" s="1"/>
  <c r="AF4" i="12"/>
  <c r="AF36" i="12" s="1"/>
  <c r="AE4" i="12"/>
  <c r="AE36" i="12" s="1"/>
  <c r="AD4" i="12"/>
  <c r="AD36" i="12" s="1"/>
  <c r="AC4" i="12"/>
  <c r="AC36" i="12" s="1"/>
  <c r="AB4" i="12"/>
  <c r="AB36" i="12" s="1"/>
  <c r="AA4" i="12"/>
  <c r="AA36" i="12" s="1"/>
  <c r="Z4" i="12"/>
  <c r="Z36" i="12" s="1"/>
  <c r="Y4" i="12"/>
  <c r="Y36" i="12" s="1"/>
  <c r="X4" i="12"/>
  <c r="X36" i="12" s="1"/>
  <c r="W4" i="12"/>
  <c r="W36" i="12" s="1"/>
  <c r="V4" i="12"/>
  <c r="V36" i="12" s="1"/>
  <c r="AQ4" i="10" a="1"/>
  <c r="AQ4" i="10" s="1"/>
  <c r="AS4" i="10" a="1"/>
  <c r="AS4" i="10" s="1"/>
  <c r="AS4" i="14" l="1" a="1"/>
  <c r="AS4" i="14" s="1"/>
  <c r="AP4" i="14"/>
  <c r="AP36" i="14" s="1"/>
  <c r="AS4" i="13" a="1"/>
  <c r="AS4" i="13" s="1"/>
  <c r="AP4" i="13"/>
  <c r="AP36" i="13" s="1"/>
  <c r="AS4" i="12" a="1"/>
  <c r="AS4" i="12" s="1"/>
  <c r="AP4" i="12"/>
  <c r="AP36" i="12" s="1"/>
  <c r="AO35" i="10"/>
  <c r="AP35" i="10" s="1"/>
  <c r="AP36" i="10" s="1"/>
  <c r="AO36" i="10"/>
  <c r="AN35" i="10"/>
  <c r="AN36" i="10"/>
  <c r="AM35" i="10"/>
  <c r="AM36" i="10"/>
  <c r="AL35" i="10"/>
  <c r="AL36" i="10"/>
  <c r="AK35" i="10"/>
  <c r="AK36" i="10" s="1"/>
  <c r="AJ35" i="10"/>
  <c r="AJ36" i="10" s="1"/>
  <c r="AI35" i="10"/>
  <c r="AI36" i="10" s="1"/>
  <c r="AH35" i="10"/>
  <c r="AH36" i="10"/>
  <c r="AG35" i="10"/>
  <c r="AG36" i="10"/>
  <c r="AF35" i="10"/>
  <c r="AF36" i="10" s="1"/>
  <c r="AE35" i="10"/>
  <c r="AE36" i="10"/>
  <c r="AD35" i="10"/>
  <c r="AD36" i="10" s="1"/>
  <c r="AC35" i="10"/>
  <c r="AC36" i="10" s="1"/>
  <c r="AB35" i="10"/>
  <c r="AB36" i="10" s="1"/>
  <c r="AA35" i="10"/>
  <c r="AA36" i="10"/>
  <c r="Z35" i="10"/>
  <c r="Z36" i="10" s="1"/>
  <c r="Y35" i="10"/>
  <c r="Y36" i="10" s="1"/>
  <c r="X35" i="10"/>
  <c r="X36" i="10"/>
  <c r="W35" i="10"/>
  <c r="W36" i="10"/>
  <c r="V35" i="10"/>
  <c r="V36" i="10" s="1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33" i="10"/>
  <c r="AA34" i="10"/>
  <c r="AA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Z34" i="10"/>
  <c r="Y34" i="10"/>
  <c r="X34" i="10"/>
  <c r="W34" i="10"/>
  <c r="V34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Z33" i="10"/>
  <c r="Y33" i="10"/>
  <c r="X33" i="10"/>
  <c r="W33" i="10"/>
  <c r="V33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Z24" i="10"/>
  <c r="Y24" i="10"/>
  <c r="X24" i="10"/>
  <c r="W24" i="10"/>
  <c r="V24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Z23" i="10"/>
  <c r="Y23" i="10"/>
  <c r="X23" i="10"/>
  <c r="W23" i="10"/>
  <c r="V23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Z22" i="10"/>
  <c r="Y22" i="10"/>
  <c r="X22" i="10"/>
  <c r="W22" i="10"/>
  <c r="V22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Z21" i="10"/>
  <c r="Y21" i="10"/>
  <c r="X21" i="10"/>
  <c r="W21" i="10"/>
  <c r="V21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Z20" i="10"/>
  <c r="Y20" i="10"/>
  <c r="X20" i="10"/>
  <c r="W20" i="10"/>
  <c r="V20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Z19" i="10"/>
  <c r="Y19" i="10"/>
  <c r="X19" i="10"/>
  <c r="W19" i="10"/>
  <c r="V19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Z18" i="10"/>
  <c r="Y18" i="10"/>
  <c r="X18" i="10"/>
  <c r="W18" i="10"/>
  <c r="V18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Z17" i="10"/>
  <c r="Y17" i="10"/>
  <c r="X17" i="10"/>
  <c r="W17" i="10"/>
  <c r="V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Z16" i="10"/>
  <c r="Y16" i="10"/>
  <c r="X16" i="10"/>
  <c r="W16" i="10"/>
  <c r="V16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Z15" i="10"/>
  <c r="Y15" i="10"/>
  <c r="X15" i="10"/>
  <c r="W15" i="10"/>
  <c r="V15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Z14" i="10"/>
  <c r="Y14" i="10"/>
  <c r="X14" i="10"/>
  <c r="W14" i="10"/>
  <c r="V14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Z13" i="10"/>
  <c r="Y13" i="10"/>
  <c r="X13" i="10"/>
  <c r="W13" i="10"/>
  <c r="V13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Z12" i="10"/>
  <c r="Y12" i="10"/>
  <c r="X12" i="10"/>
  <c r="W12" i="10"/>
  <c r="V12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Z11" i="10"/>
  <c r="Y11" i="10"/>
  <c r="X11" i="10"/>
  <c r="W11" i="10"/>
  <c r="V11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Z10" i="10"/>
  <c r="Y10" i="10"/>
  <c r="X10" i="10"/>
  <c r="W10" i="10"/>
  <c r="V10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Z9" i="10"/>
  <c r="Y9" i="10"/>
  <c r="X9" i="10"/>
  <c r="W9" i="10"/>
  <c r="V9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Z8" i="10"/>
  <c r="Y8" i="10"/>
  <c r="X8" i="10"/>
  <c r="W8" i="10"/>
  <c r="V8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Z7" i="10"/>
  <c r="Y7" i="10"/>
  <c r="X7" i="10"/>
  <c r="W7" i="10"/>
  <c r="V7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Z6" i="10"/>
  <c r="Y6" i="10"/>
  <c r="X6" i="10"/>
  <c r="W6" i="10"/>
  <c r="V6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Z5" i="10"/>
  <c r="Y5" i="10"/>
  <c r="X5" i="10"/>
  <c r="W5" i="10"/>
  <c r="V5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Z4" i="10"/>
  <c r="Y4" i="10"/>
  <c r="X4" i="10"/>
  <c r="W4" i="10"/>
  <c r="V4" i="10"/>
  <c r="AP25" i="10" l="1"/>
  <c r="AP31" i="10"/>
  <c r="AP26" i="10"/>
  <c r="AP32" i="10"/>
  <c r="AP30" i="10"/>
  <c r="AP28" i="10"/>
  <c r="AP27" i="10"/>
  <c r="AP29" i="10"/>
  <c r="AP9" i="10"/>
  <c r="AP11" i="10"/>
  <c r="AP17" i="10"/>
  <c r="AP19" i="10"/>
  <c r="AP33" i="10"/>
  <c r="AP5" i="10"/>
  <c r="AP13" i="10"/>
  <c r="AP21" i="10"/>
  <c r="AP6" i="10"/>
  <c r="AP7" i="10"/>
  <c r="AP10" i="10"/>
  <c r="AP12" i="10"/>
  <c r="AP14" i="10"/>
  <c r="AP15" i="10"/>
  <c r="AP18" i="10"/>
  <c r="AP20" i="10"/>
  <c r="AP22" i="10"/>
  <c r="AP23" i="10"/>
  <c r="AP34" i="10"/>
  <c r="AP8" i="10"/>
  <c r="AP16" i="10"/>
  <c r="AP24" i="10"/>
  <c r="AP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<sst xmlns="http://schemas.openxmlformats.org/spreadsheetml/2006/main" count="5899" uniqueCount="179">
  <si>
    <t>A</t>
  </si>
  <si>
    <t>Interpretación y representación de datos cuantitativos en distintos formatos: tablas, gráficos, esquemas, diagramas etc.</t>
  </si>
  <si>
    <t>B</t>
  </si>
  <si>
    <t>Formulación y ejecución de la solución a un problema. En este nivel, el estudiante diseñará y hará uso de estrategias lógicas para resolver una pregunta o una serie de ellas.</t>
  </si>
  <si>
    <t>C</t>
  </si>
  <si>
    <t>Argumentación, en donde se sustente la validez del resultado propuesto y sobre cómo se llegó a esta</t>
  </si>
  <si>
    <t>N</t>
  </si>
  <si>
    <t>Pensamiento numérico y sistemas numéricos</t>
  </si>
  <si>
    <t>E</t>
  </si>
  <si>
    <t>Pensamiento espacial y sistemas geométricos</t>
  </si>
  <si>
    <t>M</t>
  </si>
  <si>
    <t>Pensamiento métrico y sistemas de medidas</t>
  </si>
  <si>
    <t>Pensamiento aleatorio y sistema de datos</t>
  </si>
  <si>
    <t>V</t>
  </si>
  <si>
    <t>Pensamiento variacional y los sistemas algebraicos y analíticos</t>
  </si>
  <si>
    <t>res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</si>
  <si>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</si>
  <si>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</si>
  <si>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</si>
  <si>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</si>
  <si>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</si>
  <si>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</si>
  <si>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</si>
  <si>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</si>
  <si>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</si>
  <si>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</si>
  <si>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</si>
  <si>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</si>
  <si>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</si>
  <si>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</si>
  <si>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</si>
  <si>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diciseis</t>
  </si>
  <si>
    <t>diecisiete</t>
  </si>
  <si>
    <t>dieciocho</t>
  </si>
  <si>
    <t>diecinueve</t>
  </si>
  <si>
    <t>veinte</t>
  </si>
  <si>
    <t>categoria</t>
  </si>
  <si>
    <t>pregunta</t>
  </si>
  <si>
    <t>cantidad</t>
  </si>
  <si>
    <t>grado</t>
  </si>
  <si>
    <t>grado9</t>
  </si>
  <si>
    <t>nombres</t>
  </si>
  <si>
    <t>grado11</t>
  </si>
  <si>
    <t>gradoCategoria</t>
  </si>
  <si>
    <t>D</t>
  </si>
  <si>
    <t>b</t>
  </si>
  <si>
    <t>c</t>
  </si>
  <si>
    <t>a</t>
  </si>
  <si>
    <t>d</t>
  </si>
  <si>
    <t>x</t>
  </si>
  <si>
    <t>yulissa padilla guerra</t>
  </si>
  <si>
    <t>dianis sofia de la hoz lopez</t>
  </si>
  <si>
    <t>alejandra peralta martinez</t>
  </si>
  <si>
    <t>juan esteban baleta</t>
  </si>
  <si>
    <t>gisela andrea reyes bello</t>
  </si>
  <si>
    <t>dainis yulieth lopez barba</t>
  </si>
  <si>
    <t>yimmi walter polo lopez</t>
  </si>
  <si>
    <t>santiago burgos gomez</t>
  </si>
  <si>
    <t>luz yarit vargas cabadia</t>
  </si>
  <si>
    <t>ivan urango santamaria</t>
  </si>
  <si>
    <t>santiago stiven burgos cifuentes</t>
  </si>
  <si>
    <t>javier stiven jaraba lopez</t>
  </si>
  <si>
    <t>leidy carolina oliveros</t>
  </si>
  <si>
    <t>dayana sofia flores calderon</t>
  </si>
  <si>
    <t>marly moreno montalvo</t>
  </si>
  <si>
    <t>dayana argel cerro</t>
  </si>
  <si>
    <t>lenis edith tordecilla perez</t>
  </si>
  <si>
    <t>alexandra merlano arias</t>
  </si>
  <si>
    <t>carolina marmol peñate</t>
  </si>
  <si>
    <t>tania andrea triana barrera</t>
  </si>
  <si>
    <t>laura natali rovira almario</t>
  </si>
  <si>
    <t>kendy liseth lara moreno</t>
  </si>
  <si>
    <t>eylin tatiana polo lopez</t>
  </si>
  <si>
    <t>derlu fernanda gonzales perez</t>
  </si>
  <si>
    <t>jhonatan ruiz lopez</t>
  </si>
  <si>
    <t>darit andrea solera</t>
  </si>
  <si>
    <t>elinaa maria mejia p</t>
  </si>
  <si>
    <t>samuel burgos gomez</t>
  </si>
  <si>
    <t>yordalis correa pastrana</t>
  </si>
  <si>
    <t>pedro luis ramos almario</t>
  </si>
  <si>
    <t>luis alberto vizcaino machado</t>
  </si>
  <si>
    <t>yiris yirley echavarria gaviria</t>
  </si>
  <si>
    <t>freydys andres teran marquez</t>
  </si>
  <si>
    <t>miguel angel arias roldan</t>
  </si>
  <si>
    <t>juan andres londoño andredes</t>
  </si>
  <si>
    <t>yulian dabid jimenez ruiz</t>
  </si>
  <si>
    <t>ricardo alfonso hernandez bello</t>
  </si>
  <si>
    <t>ludis yiseth tordecilla p</t>
  </si>
  <si>
    <t>mario perez sandoval</t>
  </si>
  <si>
    <t>aider romero banquet</t>
  </si>
  <si>
    <t>maria luisa bolaño reyes</t>
  </si>
  <si>
    <t>keiner guerra aleman</t>
  </si>
  <si>
    <t>jhon angel rodriguez cordero</t>
  </si>
  <si>
    <t>lina marcela perea baleta</t>
  </si>
  <si>
    <t>valeria cruz baleta</t>
  </si>
  <si>
    <t>angie vanesa osorio vasquez</t>
  </si>
  <si>
    <t>ader luis baron chaverra</t>
  </si>
  <si>
    <t>yaxen cordoba perez</t>
  </si>
  <si>
    <t>jhoan sebastian martinez carvajal</t>
  </si>
  <si>
    <t>taliana lopez borja</t>
  </si>
  <si>
    <t>neider berrio espitia</t>
  </si>
  <si>
    <t>laudith dayana padilla santana</t>
  </si>
  <si>
    <t>peñate florez luisa fernanda</t>
  </si>
  <si>
    <t>leiny patricia cruz baleta</t>
  </si>
  <si>
    <t>edier andres baron chaverra</t>
  </si>
  <si>
    <t>juan estiven moreno guzman</t>
  </si>
  <si>
    <t>jhonatan david diaz alvarez</t>
  </si>
  <si>
    <t>wilsher andres nestra matias</t>
  </si>
  <si>
    <t>mauro alexander marquez noriega</t>
  </si>
  <si>
    <t>nicol stefany sepulveda ruiz</t>
  </si>
  <si>
    <t>blasina mendez melendrez</t>
  </si>
  <si>
    <t>eilin johana mejia romero</t>
  </si>
  <si>
    <t>bertha luz nisperuza estrada</t>
  </si>
  <si>
    <t>maria camila coa banquet</t>
  </si>
  <si>
    <t>viviana estela madera jimenez</t>
  </si>
  <si>
    <t>angie mendoza yepez</t>
  </si>
  <si>
    <t xml:space="preserve">stally alejandra castillo </t>
  </si>
  <si>
    <t>yandrith vanessa baquero</t>
  </si>
  <si>
    <t>dayana michel arrieta ramos</t>
  </si>
  <si>
    <t>lina marcela rosario de hoyos</t>
  </si>
  <si>
    <t>eider andres estrada rojas</t>
  </si>
  <si>
    <t>juan carlos rodriguez</t>
  </si>
  <si>
    <t>shirley tatiana oliveros</t>
  </si>
  <si>
    <t>wendy rodriguez cordero</t>
  </si>
  <si>
    <t>luisa daniela cogollo cifuentes</t>
  </si>
  <si>
    <t>taira yiceth torres peñate</t>
  </si>
  <si>
    <t>carol lizeth lara salas</t>
  </si>
  <si>
    <t>yareth sofia hoyos arias</t>
  </si>
  <si>
    <t>lui fernando mercado pertuz</t>
  </si>
  <si>
    <t>ana laura peñate mora</t>
  </si>
  <si>
    <t>heidy naidith cordoba perez</t>
  </si>
  <si>
    <t>jairo antonio toro torreglosa</t>
  </si>
  <si>
    <t>obed andres jimenez flores</t>
  </si>
  <si>
    <t>jhon janer marin correa</t>
  </si>
  <si>
    <t>yenifer moguea avilez</t>
  </si>
  <si>
    <t>maribel soto b</t>
  </si>
  <si>
    <t>luisa fernanda valencia calderon</t>
  </si>
  <si>
    <t>karen dayana diaz toro</t>
  </si>
  <si>
    <t>yicela diaz noriega</t>
  </si>
  <si>
    <t>yulieth paola tordecilla salcedo</t>
  </si>
  <si>
    <t>juan diago mora portillo</t>
  </si>
  <si>
    <t>grado10a</t>
  </si>
  <si>
    <t>grado10b</t>
  </si>
  <si>
    <t>nayidis mercado pertuz</t>
  </si>
  <si>
    <t>sebastian reyes mora</t>
  </si>
  <si>
    <t>n</t>
  </si>
  <si>
    <t>juan david peñate mora</t>
  </si>
  <si>
    <t>leidy yulieth padilla m</t>
  </si>
  <si>
    <t>maria alejandra ortiz</t>
  </si>
  <si>
    <t>zharit nuñez monterrosa</t>
  </si>
  <si>
    <t>kevin david negrete ocampo</t>
  </si>
  <si>
    <t>kevin andres murillo usuga</t>
  </si>
  <si>
    <t>lidis esther morelo cordero</t>
  </si>
  <si>
    <t>rosmi angel rosario</t>
  </si>
  <si>
    <t>yoider alexander ariza T</t>
  </si>
  <si>
    <t>samiel arteaga mestra</t>
  </si>
  <si>
    <t>sara ludith arteaga mestra</t>
  </si>
  <si>
    <t>ami cecilia ballesteros lopez</t>
  </si>
  <si>
    <t>argel david baron villadiego</t>
  </si>
  <si>
    <t>ezequiel castebonde garcia</t>
  </si>
  <si>
    <t>valentina cordero P</t>
  </si>
  <si>
    <t>yesenia escobar torres</t>
  </si>
  <si>
    <t>michel guerra estrada</t>
  </si>
  <si>
    <t>yiseth paola guerra</t>
  </si>
  <si>
    <t>juan lus jaramillo ariza</t>
  </si>
  <si>
    <t>andres jimenez florez</t>
  </si>
  <si>
    <t>natalia isabel marquez rosario</t>
  </si>
  <si>
    <t>elimelec matias manchego</t>
  </si>
  <si>
    <t>katherin yuietn mendez camarg</t>
  </si>
  <si>
    <t>juan manuel seña</t>
  </si>
  <si>
    <t>manuel de jesus hernandez arcia</t>
  </si>
  <si>
    <t>natalia mora fabra</t>
  </si>
  <si>
    <t>evelin teheran castellano</t>
  </si>
  <si>
    <t>astrid carolina rovira almario</t>
  </si>
  <si>
    <t>pensamiento</t>
  </si>
  <si>
    <t>densidad</t>
  </si>
  <si>
    <t>CATEGORIA--&gt;</t>
  </si>
  <si>
    <t>&lt;--- CANTIDAD ACIERTOS</t>
  </si>
  <si>
    <t>&lt;--- CANTIDAD DE ACIERTOS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</si>
</sst>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3"/>
      <color rgb="FF222E48"/>
      <name val="Arial"/>
      <family val="2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0"/>
      <color rgb="FFFF0000"/>
      <name val="Arial"/>
      <family val="2"/>
      <scheme val="minor"/>
    </font>
    <font>
      <sz val="10"/>
      <color theme="4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theme="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8" tint="0.79998168889431442"/>
        <bgColor rgb="FFEA9999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6" tint="0.79998168889431442"/>
        <bgColor rgb="FFEA99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EA9999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wrapText="1"/>
    </xf>
    <xf numFmtId="0" fontId="3" fillId="0" borderId="2" xfId="0" applyFont="1" applyBorder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0" fillId="0" borderId="2" xfId="0" applyBorder="1"/>
    <xf numFmtId="2" fontId="3" fillId="0" borderId="2" xfId="0" applyNumberFormat="1" applyFont="1" applyBorder="1"/>
    <xf numFmtId="0" fontId="5" fillId="3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164" fontId="3" fillId="7" borderId="2" xfId="0" applyNumberFormat="1" applyFont="1" applyFill="1" applyBorder="1"/>
    <xf numFmtId="0" fontId="3" fillId="8" borderId="2" xfId="0" applyFont="1" applyFill="1" applyBorder="1"/>
    <xf numFmtId="0" fontId="3" fillId="4" borderId="6" xfId="0" applyFont="1" applyFill="1" applyBorder="1"/>
    <xf numFmtId="0" fontId="3" fillId="10" borderId="2" xfId="0" applyFont="1" applyFill="1" applyBorder="1"/>
    <xf numFmtId="0" fontId="5" fillId="0" borderId="2" xfId="0" applyFont="1" applyBorder="1"/>
    <xf numFmtId="0" fontId="0" fillId="0" borderId="0" xfId="0" applyAlignment="1">
      <alignment wrapText="1"/>
    </xf>
    <xf numFmtId="0" fontId="0" fillId="11" borderId="2" xfId="0" applyFill="1" applyBorder="1"/>
    <xf numFmtId="0" fontId="9" fillId="11" borderId="2" xfId="0" applyFont="1" applyFill="1" applyBorder="1"/>
    <xf numFmtId="0" fontId="8" fillId="0" borderId="2" xfId="0" applyFont="1" applyBorder="1"/>
    <xf numFmtId="0" fontId="0" fillId="8" borderId="0" xfId="0" applyFill="1"/>
    <xf numFmtId="0" fontId="0" fillId="12" borderId="2" xfId="0" applyFill="1" applyBorder="1"/>
    <xf numFmtId="0" fontId="0" fillId="12" borderId="7" xfId="0" applyFill="1" applyBorder="1"/>
    <xf numFmtId="0" fontId="3" fillId="0" borderId="7" xfId="0" applyFont="1" applyBorder="1"/>
    <xf numFmtId="0" fontId="0" fillId="8" borderId="2" xfId="0" applyFill="1" applyBorder="1"/>
    <xf numFmtId="0" fontId="3" fillId="12" borderId="2" xfId="0" applyFont="1" applyFill="1" applyBorder="1"/>
    <xf numFmtId="0" fontId="3" fillId="13" borderId="2" xfId="0" applyFont="1" applyFill="1" applyBorder="1"/>
    <xf numFmtId="164" fontId="3" fillId="14" borderId="2" xfId="0" applyNumberFormat="1" applyFont="1" applyFill="1" applyBorder="1"/>
    <xf numFmtId="0" fontId="3" fillId="11" borderId="2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7" borderId="2" xfId="0" applyFont="1" applyFill="1" applyBorder="1"/>
    <xf numFmtId="0" fontId="3" fillId="18" borderId="2" xfId="0" applyFont="1" applyFill="1" applyBorder="1"/>
    <xf numFmtId="164" fontId="3" fillId="19" borderId="2" xfId="0" applyNumberFormat="1" applyFont="1" applyFill="1" applyBorder="1"/>
    <xf numFmtId="2" fontId="3" fillId="0" borderId="4" xfId="0" applyNumberFormat="1" applyFont="1" applyBorder="1"/>
    <xf numFmtId="0" fontId="3" fillId="0" borderId="2" xfId="0" applyFont="1" applyBorder="1" applyAlignment="1">
      <alignment wrapText="1"/>
    </xf>
    <xf numFmtId="0" fontId="0" fillId="20" borderId="2" xfId="0" applyFill="1" applyBorder="1"/>
    <xf numFmtId="0" fontId="0" fillId="17" borderId="2" xfId="0" applyFill="1" applyBorder="1"/>
    <xf numFmtId="0" fontId="11" fillId="0" borderId="2" xfId="0" applyFont="1" applyBorder="1"/>
    <xf numFmtId="0" fontId="11" fillId="11" borderId="2" xfId="0" applyFont="1" applyFill="1" applyBorder="1"/>
    <xf numFmtId="0" fontId="12" fillId="11" borderId="2" xfId="0" applyFont="1" applyFill="1" applyBorder="1"/>
    <xf numFmtId="0" fontId="13" fillId="0" borderId="0" xfId="0" applyFont="1" applyAlignment="1">
      <alignment horizontal="right"/>
    </xf>
    <xf numFmtId="164" fontId="0" fillId="0" borderId="3" xfId="0" applyNumberFormat="1" applyBorder="1"/>
    <xf numFmtId="0" fontId="0" fillId="8" borderId="7" xfId="0" applyFill="1" applyBorder="1"/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8" fillId="8" borderId="10" xfId="0" applyFont="1" applyFill="1" applyBorder="1" applyAlignment="1">
      <alignment horizontal="center" textRotation="180"/>
    </xf>
    <xf numFmtId="0" fontId="0" fillId="8" borderId="11" xfId="0" applyFill="1" applyBorder="1" applyAlignment="1">
      <alignment horizontal="center" textRotation="180"/>
    </xf>
    <xf numFmtId="0" fontId="0" fillId="8" borderId="12" xfId="0" applyFill="1" applyBorder="1" applyAlignment="1">
      <alignment horizontal="center" textRotation="180"/>
    </xf>
  </cellXfs>
  <cellStyles count="6">
    <cellStyle name="Normal" xfId="0" builtinId="0"/>
    <cellStyle name="Normal 2" xfId="1" xr:uid="{2988C25B-48CE-42E4-BB59-3783C30DB596}"/>
    <cellStyle name="Normal 3" xfId="3" xr:uid="{EA02A933-7953-45B4-8097-C4137FE3D51B}"/>
    <cellStyle name="Normal 4" xfId="4" xr:uid="{A21D4E89-6C39-457A-89F5-F3E0062D644C}"/>
    <cellStyle name="Normal 5" xfId="2" xr:uid="{B5637EB2-1342-4334-B663-D0DA59AA91B1}"/>
    <cellStyle name="Normal 6" xfId="5" xr:uid="{D685B58D-0B2F-4EA9-A522-13420906B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workbookViewId="0"/>
  </sheetViews>
  <sheetFormatPr baseColWidth="10" defaultColWidth="12.5703125" defaultRowHeight="15.75" customHeight="1" x14ac:dyDescent="0.2"/>
  <sheetData>
    <row r="1" spans="1:2" ht="15.75" customHeight="1" x14ac:dyDescent="0.25">
      <c r="A1" s="1" t="s">
        <v>0</v>
      </c>
      <c r="B1" s="2" t="s">
        <v>1</v>
      </c>
    </row>
    <row r="2" spans="1:2" ht="15.75" customHeight="1" x14ac:dyDescent="0.25">
      <c r="A2" s="1" t="s">
        <v>2</v>
      </c>
      <c r="B2" s="2" t="s">
        <v>3</v>
      </c>
    </row>
    <row r="3" spans="1:2" ht="15.75" customHeight="1" x14ac:dyDescent="0.25">
      <c r="A3" s="1" t="s">
        <v>4</v>
      </c>
      <c r="B3" s="3" t="s">
        <v>5</v>
      </c>
    </row>
    <row r="7" spans="1:2" ht="12.75" x14ac:dyDescent="0.2">
      <c r="A7" s="1" t="s">
        <v>6</v>
      </c>
      <c r="B7" s="1" t="s">
        <v>7</v>
      </c>
    </row>
    <row r="8" spans="1:2" ht="12.75" x14ac:dyDescent="0.2">
      <c r="A8" s="1" t="s">
        <v>8</v>
      </c>
      <c r="B8" s="1" t="s">
        <v>9</v>
      </c>
    </row>
    <row r="9" spans="1:2" ht="12.75" x14ac:dyDescent="0.2">
      <c r="A9" s="1" t="s">
        <v>10</v>
      </c>
      <c r="B9" s="1" t="s">
        <v>11</v>
      </c>
    </row>
    <row r="10" spans="1:2" ht="12.75" x14ac:dyDescent="0.2">
      <c r="A10" s="1" t="s">
        <v>0</v>
      </c>
      <c r="B10" s="1" t="s">
        <v>12</v>
      </c>
    </row>
    <row r="11" spans="1:2" ht="12.75" x14ac:dyDescent="0.2">
      <c r="A11" s="1" t="s">
        <v>13</v>
      </c>
      <c r="B1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3846-FC2C-4BD1-9A9F-6DC045E73A84}">
  <sheetPr>
    <tabColor rgb="FFFF0000"/>
    <pageSetUpPr fitToPage="1"/>
  </sheetPr>
  <dimension ref="A1:AW124"/>
  <sheetViews>
    <sheetView tabSelected="1" zoomScale="73" zoomScaleNormal="145" workbookViewId="0">
      <selection activeCell="AP122" sqref="A1:AP122"/>
    </sheetView>
  </sheetViews>
  <sheetFormatPr baseColWidth="10" defaultRowHeight="12.75" outlineLevelCol="1" x14ac:dyDescent="0.2"/>
  <cols>
    <col min="1" max="1" width="50" bestFit="1" customWidth="1"/>
    <col min="2" max="9" width="2.42578125" hidden="1" customWidth="1" outlineLevel="1"/>
    <col min="10" max="10" width="4.140625" hidden="1" customWidth="1" outlineLevel="1"/>
    <col min="11" max="21" width="2.42578125" hidden="1" customWidth="1" outlineLevel="1"/>
    <col min="22" max="22" width="4.7109375" customWidth="1" outlineLevel="1"/>
    <col min="23" max="24" width="4.42578125" customWidth="1" outlineLevel="1"/>
    <col min="25" max="25" width="6.85546875" customWidth="1" outlineLevel="1"/>
    <col min="26" max="26" width="6.140625" customWidth="1" outlineLevel="1"/>
    <col min="27" max="27" width="4.7109375" customWidth="1" outlineLevel="1"/>
    <col min="28" max="28" width="5.42578125" customWidth="1" outlineLevel="1"/>
    <col min="29" max="29" width="5.7109375" customWidth="1" outlineLevel="1"/>
    <col min="30" max="30" width="6.7109375" customWidth="1" outlineLevel="1"/>
    <col min="31" max="31" width="4.85546875" customWidth="1" outlineLevel="1"/>
    <col min="32" max="34" width="5.7109375" customWidth="1" outlineLevel="1"/>
    <col min="35" max="35" width="8" customWidth="1" outlineLevel="1"/>
    <col min="36" max="36" width="7.28515625" customWidth="1" outlineLevel="1"/>
    <col min="37" max="37" width="7.7109375" customWidth="1" outlineLevel="1"/>
    <col min="38" max="38" width="9.5703125" customWidth="1" outlineLevel="1"/>
    <col min="39" max="39" width="9.85546875" customWidth="1" outlineLevel="1"/>
    <col min="40" max="40" width="10.85546875" customWidth="1" outlineLevel="1"/>
    <col min="41" max="41" width="6.5703125" customWidth="1" outlineLevel="1"/>
    <col min="42" max="42" width="5.85546875" customWidth="1" outlineLevel="1"/>
    <col min="43" max="43" width="9.5703125" bestFit="1" customWidth="1"/>
    <col min="44" max="44" width="9.140625" bestFit="1" customWidth="1"/>
    <col min="45" max="45" width="9" bestFit="1" customWidth="1"/>
    <col min="46" max="46" width="8.5703125" bestFit="1" customWidth="1"/>
    <col min="47" max="47" width="14.28515625" bestFit="1" customWidth="1"/>
  </cols>
  <sheetData>
    <row r="1" spans="1:49" x14ac:dyDescent="0.2">
      <c r="A1" s="21" t="s">
        <v>41</v>
      </c>
      <c r="B1" t="s">
        <v>0</v>
      </c>
      <c r="C1" t="s">
        <v>44</v>
      </c>
      <c r="D1" t="s">
        <v>2</v>
      </c>
      <c r="E1" t="s">
        <v>4</v>
      </c>
      <c r="F1" t="s">
        <v>44</v>
      </c>
      <c r="G1" t="s">
        <v>4</v>
      </c>
      <c r="H1" t="s">
        <v>0</v>
      </c>
      <c r="I1" t="s">
        <v>4</v>
      </c>
      <c r="J1" t="s">
        <v>0</v>
      </c>
      <c r="K1" t="s">
        <v>4</v>
      </c>
      <c r="L1" t="s">
        <v>0</v>
      </c>
      <c r="M1" t="s">
        <v>4</v>
      </c>
      <c r="N1" t="s">
        <v>2</v>
      </c>
      <c r="O1" t="s">
        <v>4</v>
      </c>
      <c r="P1" t="s">
        <v>2</v>
      </c>
      <c r="Q1" t="s">
        <v>0</v>
      </c>
      <c r="R1" t="s">
        <v>0</v>
      </c>
      <c r="S1" t="s">
        <v>4</v>
      </c>
      <c r="T1" t="s">
        <v>2</v>
      </c>
      <c r="U1" t="s">
        <v>4</v>
      </c>
      <c r="V1" s="7" t="s">
        <v>16</v>
      </c>
      <c r="W1" s="7" t="s">
        <v>17</v>
      </c>
      <c r="X1" s="7" t="s">
        <v>18</v>
      </c>
      <c r="Y1" s="7" t="s">
        <v>19</v>
      </c>
      <c r="Z1" s="7" t="s">
        <v>20</v>
      </c>
      <c r="AA1" s="7" t="s">
        <v>21</v>
      </c>
      <c r="AB1" s="7" t="s">
        <v>22</v>
      </c>
      <c r="AC1" s="7" t="s">
        <v>23</v>
      </c>
      <c r="AD1" s="7" t="s">
        <v>24</v>
      </c>
      <c r="AE1" s="7" t="s">
        <v>25</v>
      </c>
      <c r="AF1" s="7" t="s">
        <v>26</v>
      </c>
      <c r="AG1" s="7" t="s">
        <v>27</v>
      </c>
      <c r="AH1" s="7" t="s">
        <v>28</v>
      </c>
      <c r="AI1" s="7" t="s">
        <v>29</v>
      </c>
      <c r="AJ1" s="7" t="s">
        <v>30</v>
      </c>
      <c r="AK1" s="7" t="s">
        <v>31</v>
      </c>
      <c r="AL1" s="7" t="s">
        <v>32</v>
      </c>
      <c r="AM1" s="7" t="s">
        <v>33</v>
      </c>
      <c r="AN1" s="7" t="s">
        <v>34</v>
      </c>
      <c r="AO1" s="7" t="s">
        <v>35</v>
      </c>
      <c r="AP1" s="7" t="s">
        <v>15</v>
      </c>
      <c r="AQ1" s="7" t="s">
        <v>36</v>
      </c>
      <c r="AR1" s="7" t="s">
        <v>37</v>
      </c>
      <c r="AS1" s="41" t="s">
        <v>38</v>
      </c>
      <c r="AT1" s="7" t="s">
        <v>39</v>
      </c>
      <c r="AU1" s="25" t="s">
        <v>43</v>
      </c>
      <c r="AV1" s="12" t="s">
        <v>174</v>
      </c>
      <c r="AW1" t="s">
        <v>175</v>
      </c>
    </row>
    <row r="2" spans="1:49" x14ac:dyDescent="0.2">
      <c r="A2" s="31" t="s">
        <v>78</v>
      </c>
      <c r="B2" s="32" t="s">
        <v>47</v>
      </c>
      <c r="C2" s="32" t="s">
        <v>46</v>
      </c>
      <c r="D2" s="32" t="s">
        <v>48</v>
      </c>
      <c r="E2" s="32" t="s">
        <v>45</v>
      </c>
      <c r="F2" s="32" t="s">
        <v>45</v>
      </c>
      <c r="G2" s="32" t="s">
        <v>48</v>
      </c>
      <c r="H2" s="32" t="s">
        <v>46</v>
      </c>
      <c r="I2" s="32" t="s">
        <v>48</v>
      </c>
      <c r="J2" s="32" t="s">
        <v>48</v>
      </c>
      <c r="K2" s="32" t="s">
        <v>47</v>
      </c>
      <c r="L2" s="32" t="s">
        <v>46</v>
      </c>
      <c r="M2" s="32" t="s">
        <v>48</v>
      </c>
      <c r="N2" s="32" t="s">
        <v>46</v>
      </c>
      <c r="O2" s="32" t="s">
        <v>48</v>
      </c>
      <c r="P2" s="32" t="s">
        <v>46</v>
      </c>
      <c r="Q2" s="32" t="s">
        <v>45</v>
      </c>
      <c r="R2" s="32" t="s">
        <v>47</v>
      </c>
      <c r="S2" s="32" t="s">
        <v>46</v>
      </c>
      <c r="T2" s="32" t="s">
        <v>45</v>
      </c>
      <c r="U2" s="32" t="s">
        <v>46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1</v>
      </c>
      <c r="AH2" s="31">
        <v>0</v>
      </c>
      <c r="AI2" s="31">
        <v>0</v>
      </c>
      <c r="AJ2" s="31">
        <v>0</v>
      </c>
      <c r="AK2" s="31">
        <v>0</v>
      </c>
      <c r="AL2" s="31">
        <v>0</v>
      </c>
      <c r="AM2" s="31">
        <v>0</v>
      </c>
      <c r="AN2" s="31">
        <v>0</v>
      </c>
      <c r="AO2" s="31">
        <v>1</v>
      </c>
      <c r="AP2" s="33">
        <v>1.5</v>
      </c>
      <c r="AQ2" s="27">
        <v>3</v>
      </c>
      <c r="AR2" s="7">
        <v>1</v>
      </c>
      <c r="AS2" s="30">
        <v>19</v>
      </c>
      <c r="AT2" s="42" t="s">
        <v>40</v>
      </c>
      <c r="AU2" s="42" t="s">
        <v>40</v>
      </c>
      <c r="AV2" s="45">
        <v>4</v>
      </c>
      <c r="AW2">
        <v>1</v>
      </c>
    </row>
    <row r="3" spans="1:49" x14ac:dyDescent="0.2">
      <c r="A3" s="31" t="s">
        <v>79</v>
      </c>
      <c r="B3" s="32" t="s">
        <v>45</v>
      </c>
      <c r="C3" s="32" t="s">
        <v>48</v>
      </c>
      <c r="D3" s="32" t="s">
        <v>45</v>
      </c>
      <c r="E3" s="32" t="s">
        <v>46</v>
      </c>
      <c r="F3" s="32" t="s">
        <v>47</v>
      </c>
      <c r="G3" s="32" t="s">
        <v>48</v>
      </c>
      <c r="H3" s="32" t="s">
        <v>48</v>
      </c>
      <c r="I3" s="32" t="s">
        <v>46</v>
      </c>
      <c r="J3" s="32" t="s">
        <v>45</v>
      </c>
      <c r="K3" s="32" t="s">
        <v>47</v>
      </c>
      <c r="L3" s="32" t="s">
        <v>47</v>
      </c>
      <c r="M3" s="32" t="s">
        <v>47</v>
      </c>
      <c r="N3" s="32" t="s">
        <v>45</v>
      </c>
      <c r="O3" s="32" t="s">
        <v>48</v>
      </c>
      <c r="P3" s="32" t="s">
        <v>46</v>
      </c>
      <c r="Q3" s="32" t="s">
        <v>45</v>
      </c>
      <c r="R3" s="32" t="s">
        <v>47</v>
      </c>
      <c r="S3" s="32" t="s">
        <v>46</v>
      </c>
      <c r="T3" s="32" t="s">
        <v>46</v>
      </c>
      <c r="U3" s="32" t="s">
        <v>48</v>
      </c>
      <c r="V3" s="31">
        <v>1</v>
      </c>
      <c r="W3" s="31">
        <v>0</v>
      </c>
      <c r="X3" s="31">
        <v>0</v>
      </c>
      <c r="Y3" s="31">
        <v>0</v>
      </c>
      <c r="Z3" s="31">
        <v>1</v>
      </c>
      <c r="AA3" s="31">
        <v>0</v>
      </c>
      <c r="AB3" s="31">
        <v>0</v>
      </c>
      <c r="AC3" s="31">
        <v>0</v>
      </c>
      <c r="AD3" s="31">
        <v>1</v>
      </c>
      <c r="AE3" s="31">
        <v>0</v>
      </c>
      <c r="AF3" s="31">
        <v>0</v>
      </c>
      <c r="AG3" s="31">
        <v>0</v>
      </c>
      <c r="AH3" s="31">
        <v>1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3">
        <v>2</v>
      </c>
      <c r="AQ3" s="27">
        <v>2</v>
      </c>
      <c r="AR3" s="7">
        <v>2</v>
      </c>
      <c r="AS3" s="30">
        <v>6</v>
      </c>
      <c r="AT3" s="42" t="s">
        <v>40</v>
      </c>
      <c r="AU3" s="42" t="s">
        <v>40</v>
      </c>
      <c r="AV3" s="45">
        <v>4</v>
      </c>
      <c r="AW3">
        <v>1</v>
      </c>
    </row>
    <row r="4" spans="1:49" x14ac:dyDescent="0.2">
      <c r="A4" s="31" t="s">
        <v>80</v>
      </c>
      <c r="B4" s="32" t="s">
        <v>47</v>
      </c>
      <c r="C4" s="32" t="s">
        <v>46</v>
      </c>
      <c r="D4" s="32" t="s">
        <v>46</v>
      </c>
      <c r="E4" s="32" t="s">
        <v>48</v>
      </c>
      <c r="F4" s="32" t="s">
        <v>45</v>
      </c>
      <c r="G4" s="32" t="s">
        <v>47</v>
      </c>
      <c r="H4" s="32" t="s">
        <v>46</v>
      </c>
      <c r="I4" s="32" t="s">
        <v>46</v>
      </c>
      <c r="J4" s="32" t="s">
        <v>48</v>
      </c>
      <c r="K4" s="32" t="s">
        <v>46</v>
      </c>
      <c r="L4" s="32" t="s">
        <v>47</v>
      </c>
      <c r="M4" s="32" t="s">
        <v>46</v>
      </c>
      <c r="N4" s="32" t="s">
        <v>47</v>
      </c>
      <c r="O4" s="32" t="s">
        <v>47</v>
      </c>
      <c r="P4" s="32" t="s">
        <v>46</v>
      </c>
      <c r="Q4" s="32" t="s">
        <v>46</v>
      </c>
      <c r="R4" s="32" t="s">
        <v>47</v>
      </c>
      <c r="S4" s="32" t="s">
        <v>46</v>
      </c>
      <c r="T4" s="32" t="s">
        <v>46</v>
      </c>
      <c r="U4" s="32" t="s">
        <v>46</v>
      </c>
      <c r="V4" s="31">
        <v>0</v>
      </c>
      <c r="W4" s="31">
        <v>0</v>
      </c>
      <c r="X4" s="31">
        <v>1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1</v>
      </c>
      <c r="AL4" s="31">
        <v>0</v>
      </c>
      <c r="AM4" s="31">
        <v>0</v>
      </c>
      <c r="AN4" s="31">
        <v>0</v>
      </c>
      <c r="AO4" s="31">
        <v>1</v>
      </c>
      <c r="AP4" s="33">
        <v>1.75</v>
      </c>
      <c r="AQ4" s="27">
        <v>2</v>
      </c>
      <c r="AR4" s="7">
        <v>3</v>
      </c>
      <c r="AS4" s="30">
        <v>9</v>
      </c>
      <c r="AT4" s="42" t="s">
        <v>40</v>
      </c>
      <c r="AU4" s="42" t="s">
        <v>40</v>
      </c>
      <c r="AV4" s="45">
        <v>4</v>
      </c>
      <c r="AW4">
        <v>1</v>
      </c>
    </row>
    <row r="5" spans="1:49" x14ac:dyDescent="0.2">
      <c r="A5" s="31" t="s">
        <v>81</v>
      </c>
      <c r="B5" s="32" t="s">
        <v>48</v>
      </c>
      <c r="C5" s="32" t="s">
        <v>46</v>
      </c>
      <c r="D5" s="32" t="s">
        <v>45</v>
      </c>
      <c r="E5" s="32" t="s">
        <v>46</v>
      </c>
      <c r="F5" s="32" t="s">
        <v>45</v>
      </c>
      <c r="G5" s="32" t="s">
        <v>47</v>
      </c>
      <c r="H5" s="32" t="s">
        <v>47</v>
      </c>
      <c r="I5" s="32" t="s">
        <v>48</v>
      </c>
      <c r="J5" s="32" t="s">
        <v>47</v>
      </c>
      <c r="K5" s="32" t="s">
        <v>47</v>
      </c>
      <c r="L5" s="32" t="s">
        <v>45</v>
      </c>
      <c r="M5" s="32" t="s">
        <v>47</v>
      </c>
      <c r="N5" s="32" t="s">
        <v>45</v>
      </c>
      <c r="O5" s="32" t="s">
        <v>48</v>
      </c>
      <c r="P5" s="32" t="s">
        <v>45</v>
      </c>
      <c r="Q5" s="32" t="s">
        <v>47</v>
      </c>
      <c r="R5" s="32" t="s">
        <v>47</v>
      </c>
      <c r="S5" s="32" t="s">
        <v>45</v>
      </c>
      <c r="T5" s="32" t="s">
        <v>46</v>
      </c>
      <c r="U5" s="32" t="s">
        <v>48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1</v>
      </c>
      <c r="AG5" s="31">
        <v>0</v>
      </c>
      <c r="AH5" s="31">
        <v>1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3">
        <v>1.5</v>
      </c>
      <c r="AQ5" s="27">
        <v>2</v>
      </c>
      <c r="AR5" s="7">
        <v>4</v>
      </c>
      <c r="AS5" s="30">
        <v>9</v>
      </c>
      <c r="AT5" s="42" t="s">
        <v>40</v>
      </c>
      <c r="AU5" s="42" t="s">
        <v>40</v>
      </c>
      <c r="AV5" s="45">
        <v>4</v>
      </c>
      <c r="AW5">
        <v>1</v>
      </c>
    </row>
    <row r="6" spans="1:49" x14ac:dyDescent="0.2">
      <c r="A6" s="31" t="s">
        <v>82</v>
      </c>
      <c r="B6" s="32" t="s">
        <v>45</v>
      </c>
      <c r="C6" s="32" t="s">
        <v>45</v>
      </c>
      <c r="D6" s="32" t="s">
        <v>48</v>
      </c>
      <c r="E6" s="32" t="s">
        <v>45</v>
      </c>
      <c r="F6" s="32" t="s">
        <v>45</v>
      </c>
      <c r="G6" s="32" t="s">
        <v>45</v>
      </c>
      <c r="H6" s="32" t="s">
        <v>47</v>
      </c>
      <c r="I6" s="32" t="s">
        <v>48</v>
      </c>
      <c r="J6" s="32" t="s">
        <v>47</v>
      </c>
      <c r="K6" s="32" t="s">
        <v>47</v>
      </c>
      <c r="L6" s="32" t="s">
        <v>47</v>
      </c>
      <c r="M6" s="32" t="s">
        <v>45</v>
      </c>
      <c r="N6" s="32" t="s">
        <v>47</v>
      </c>
      <c r="O6" s="32" t="s">
        <v>48</v>
      </c>
      <c r="P6" s="32" t="s">
        <v>46</v>
      </c>
      <c r="Q6" s="32" t="s">
        <v>45</v>
      </c>
      <c r="R6" s="32" t="s">
        <v>47</v>
      </c>
      <c r="S6" s="32" t="s">
        <v>47</v>
      </c>
      <c r="T6" s="32" t="s">
        <v>46</v>
      </c>
      <c r="U6" s="32" t="s">
        <v>48</v>
      </c>
      <c r="V6" s="31">
        <v>1</v>
      </c>
      <c r="W6" s="31">
        <v>1</v>
      </c>
      <c r="X6" s="31">
        <v>0</v>
      </c>
      <c r="Y6" s="31">
        <v>0</v>
      </c>
      <c r="Z6" s="31">
        <v>0</v>
      </c>
      <c r="AA6" s="31">
        <v>1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1</v>
      </c>
      <c r="AN6" s="31">
        <v>0</v>
      </c>
      <c r="AO6" s="31">
        <v>0</v>
      </c>
      <c r="AP6" s="33">
        <v>2</v>
      </c>
      <c r="AQ6" s="27">
        <v>2</v>
      </c>
      <c r="AR6" s="7">
        <v>5</v>
      </c>
      <c r="AS6" s="30">
        <v>15</v>
      </c>
      <c r="AT6" s="42" t="s">
        <v>40</v>
      </c>
      <c r="AU6" s="42" t="s">
        <v>40</v>
      </c>
      <c r="AV6" s="45">
        <v>5</v>
      </c>
      <c r="AW6">
        <v>1</v>
      </c>
    </row>
    <row r="7" spans="1:49" x14ac:dyDescent="0.2">
      <c r="A7" s="31" t="s">
        <v>83</v>
      </c>
      <c r="B7" s="32" t="s">
        <v>47</v>
      </c>
      <c r="C7" s="32" t="s">
        <v>48</v>
      </c>
      <c r="D7" s="32" t="s">
        <v>46</v>
      </c>
      <c r="E7" s="32" t="s">
        <v>45</v>
      </c>
      <c r="F7" s="32" t="s">
        <v>45</v>
      </c>
      <c r="G7" s="32" t="s">
        <v>45</v>
      </c>
      <c r="H7" s="32" t="s">
        <v>46</v>
      </c>
      <c r="I7" s="32" t="s">
        <v>48</v>
      </c>
      <c r="J7" s="32" t="s">
        <v>47</v>
      </c>
      <c r="K7" s="32" t="s">
        <v>47</v>
      </c>
      <c r="L7" s="32" t="s">
        <v>46</v>
      </c>
      <c r="M7" s="32" t="s">
        <v>45</v>
      </c>
      <c r="N7" s="32" t="s">
        <v>47</v>
      </c>
      <c r="O7" s="32" t="s">
        <v>48</v>
      </c>
      <c r="P7" s="32" t="s">
        <v>47</v>
      </c>
      <c r="Q7" s="32" t="s">
        <v>45</v>
      </c>
      <c r="R7" s="32" t="s">
        <v>47</v>
      </c>
      <c r="S7" s="32" t="s">
        <v>47</v>
      </c>
      <c r="T7" s="32" t="s">
        <v>46</v>
      </c>
      <c r="U7" s="32" t="s">
        <v>48</v>
      </c>
      <c r="V7" s="31">
        <v>0</v>
      </c>
      <c r="W7" s="31">
        <v>0</v>
      </c>
      <c r="X7" s="31">
        <v>1</v>
      </c>
      <c r="Y7" s="31">
        <v>0</v>
      </c>
      <c r="Z7" s="31">
        <v>0</v>
      </c>
      <c r="AA7" s="31">
        <v>1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1</v>
      </c>
      <c r="AN7" s="31">
        <v>0</v>
      </c>
      <c r="AO7" s="31">
        <v>0</v>
      </c>
      <c r="AP7" s="33">
        <v>1.75</v>
      </c>
      <c r="AQ7" s="27">
        <v>1</v>
      </c>
      <c r="AR7" s="44">
        <v>6</v>
      </c>
      <c r="AS7" s="30">
        <v>15</v>
      </c>
      <c r="AT7" s="42" t="s">
        <v>40</v>
      </c>
      <c r="AU7" s="42" t="s">
        <v>40</v>
      </c>
      <c r="AV7" s="45">
        <v>4</v>
      </c>
      <c r="AW7">
        <v>1</v>
      </c>
    </row>
    <row r="8" spans="1:49" x14ac:dyDescent="0.2">
      <c r="A8" s="31" t="s">
        <v>84</v>
      </c>
      <c r="B8" s="32" t="s">
        <v>45</v>
      </c>
      <c r="C8" s="32" t="s">
        <v>47</v>
      </c>
      <c r="D8" s="32" t="s">
        <v>47</v>
      </c>
      <c r="E8" s="32" t="s">
        <v>48</v>
      </c>
      <c r="F8" s="32" t="s">
        <v>47</v>
      </c>
      <c r="G8" s="32" t="s">
        <v>47</v>
      </c>
      <c r="H8" s="32" t="s">
        <v>46</v>
      </c>
      <c r="I8" s="32" t="s">
        <v>48</v>
      </c>
      <c r="J8" s="32" t="s">
        <v>48</v>
      </c>
      <c r="K8" s="32" t="s">
        <v>45</v>
      </c>
      <c r="L8" s="32" t="s">
        <v>45</v>
      </c>
      <c r="M8" s="32" t="s">
        <v>45</v>
      </c>
      <c r="N8" s="32" t="s">
        <v>47</v>
      </c>
      <c r="O8" s="32" t="s">
        <v>48</v>
      </c>
      <c r="P8" s="32" t="s">
        <v>45</v>
      </c>
      <c r="Q8" s="32" t="s">
        <v>46</v>
      </c>
      <c r="R8" s="32" t="s">
        <v>45</v>
      </c>
      <c r="S8" s="32" t="s">
        <v>47</v>
      </c>
      <c r="T8" s="32" t="s">
        <v>46</v>
      </c>
      <c r="U8" s="32" t="s">
        <v>45</v>
      </c>
      <c r="V8" s="31">
        <v>1</v>
      </c>
      <c r="W8" s="31">
        <v>0</v>
      </c>
      <c r="X8" s="31">
        <v>0</v>
      </c>
      <c r="Y8" s="31">
        <v>0</v>
      </c>
      <c r="Z8" s="31">
        <v>1</v>
      </c>
      <c r="AA8" s="31">
        <v>0</v>
      </c>
      <c r="AB8" s="31">
        <v>0</v>
      </c>
      <c r="AC8" s="31">
        <v>0</v>
      </c>
      <c r="AD8" s="31">
        <v>0</v>
      </c>
      <c r="AE8" s="31">
        <v>1</v>
      </c>
      <c r="AF8" s="31">
        <v>1</v>
      </c>
      <c r="AG8" s="31">
        <v>0</v>
      </c>
      <c r="AH8" s="31">
        <v>0</v>
      </c>
      <c r="AI8" s="31">
        <v>0</v>
      </c>
      <c r="AJ8" s="31">
        <v>0</v>
      </c>
      <c r="AK8" s="31">
        <v>1</v>
      </c>
      <c r="AL8" s="31">
        <v>1</v>
      </c>
      <c r="AM8" s="31">
        <v>1</v>
      </c>
      <c r="AN8" s="31">
        <v>0</v>
      </c>
      <c r="AO8" s="31">
        <v>0</v>
      </c>
      <c r="AP8" s="33">
        <v>2.75</v>
      </c>
      <c r="AQ8" s="27">
        <v>1</v>
      </c>
      <c r="AR8" s="44">
        <v>7</v>
      </c>
      <c r="AS8" s="30">
        <v>5</v>
      </c>
      <c r="AT8" s="42" t="s">
        <v>40</v>
      </c>
      <c r="AU8" s="42" t="s">
        <v>40</v>
      </c>
      <c r="AV8" s="45">
        <v>3</v>
      </c>
      <c r="AW8">
        <v>1</v>
      </c>
    </row>
    <row r="9" spans="1:49" x14ac:dyDescent="0.2">
      <c r="A9" s="31" t="s">
        <v>85</v>
      </c>
      <c r="B9" s="32" t="s">
        <v>45</v>
      </c>
      <c r="C9" s="32" t="s">
        <v>48</v>
      </c>
      <c r="D9" s="32" t="s">
        <v>47</v>
      </c>
      <c r="E9" s="32" t="s">
        <v>47</v>
      </c>
      <c r="F9" s="32" t="s">
        <v>45</v>
      </c>
      <c r="G9" s="32" t="s">
        <v>47</v>
      </c>
      <c r="H9" s="32" t="s">
        <v>46</v>
      </c>
      <c r="I9" s="32" t="s">
        <v>48</v>
      </c>
      <c r="J9" s="32" t="s">
        <v>47</v>
      </c>
      <c r="K9" s="32" t="s">
        <v>46</v>
      </c>
      <c r="L9" s="32" t="s">
        <v>48</v>
      </c>
      <c r="M9" s="32" t="s">
        <v>45</v>
      </c>
      <c r="N9" s="32" t="s">
        <v>48</v>
      </c>
      <c r="O9" s="32" t="s">
        <v>47</v>
      </c>
      <c r="P9" s="32" t="s">
        <v>46</v>
      </c>
      <c r="Q9" s="32" t="s">
        <v>47</v>
      </c>
      <c r="R9" s="32" t="s">
        <v>46</v>
      </c>
      <c r="S9" s="32" t="s">
        <v>45</v>
      </c>
      <c r="T9" s="32" t="s">
        <v>48</v>
      </c>
      <c r="U9" s="32" t="s">
        <v>45</v>
      </c>
      <c r="V9" s="31">
        <v>1</v>
      </c>
      <c r="W9" s="31">
        <v>0</v>
      </c>
      <c r="X9" s="31">
        <v>0</v>
      </c>
      <c r="Y9" s="31">
        <v>1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1</v>
      </c>
      <c r="AO9" s="31">
        <v>0</v>
      </c>
      <c r="AP9" s="33">
        <v>1.75</v>
      </c>
      <c r="AQ9" s="27">
        <v>1</v>
      </c>
      <c r="AR9" s="44">
        <v>8</v>
      </c>
      <c r="AS9" s="30">
        <v>5</v>
      </c>
      <c r="AT9" s="42" t="s">
        <v>40</v>
      </c>
      <c r="AU9" s="42" t="s">
        <v>40</v>
      </c>
      <c r="AV9" s="45">
        <v>3</v>
      </c>
      <c r="AW9">
        <v>1</v>
      </c>
    </row>
    <row r="10" spans="1:49" x14ac:dyDescent="0.2">
      <c r="A10" s="31" t="s">
        <v>86</v>
      </c>
      <c r="B10" s="32" t="s">
        <v>47</v>
      </c>
      <c r="C10" s="32" t="s">
        <v>47</v>
      </c>
      <c r="D10" s="32" t="s">
        <v>46</v>
      </c>
      <c r="E10" s="32" t="s">
        <v>47</v>
      </c>
      <c r="F10" s="32" t="s">
        <v>47</v>
      </c>
      <c r="G10" s="32" t="s">
        <v>45</v>
      </c>
      <c r="H10" s="32" t="s">
        <v>48</v>
      </c>
      <c r="I10" s="32" t="s">
        <v>48</v>
      </c>
      <c r="J10" s="32" t="s">
        <v>48</v>
      </c>
      <c r="K10" s="32" t="s">
        <v>46</v>
      </c>
      <c r="L10" s="32" t="s">
        <v>48</v>
      </c>
      <c r="M10" s="32" t="s">
        <v>46</v>
      </c>
      <c r="N10" s="32" t="s">
        <v>45</v>
      </c>
      <c r="O10" s="32" t="s">
        <v>48</v>
      </c>
      <c r="P10" s="32" t="s">
        <v>46</v>
      </c>
      <c r="Q10" s="32" t="s">
        <v>45</v>
      </c>
      <c r="R10" s="32" t="s">
        <v>47</v>
      </c>
      <c r="S10" s="32" t="s">
        <v>47</v>
      </c>
      <c r="T10" s="32" t="s">
        <v>46</v>
      </c>
      <c r="U10" s="32" t="s">
        <v>47</v>
      </c>
      <c r="V10" s="31">
        <v>0</v>
      </c>
      <c r="W10" s="31">
        <v>0</v>
      </c>
      <c r="X10" s="31">
        <v>1</v>
      </c>
      <c r="Y10" s="31">
        <v>1</v>
      </c>
      <c r="Z10" s="31">
        <v>1</v>
      </c>
      <c r="AA10" s="31">
        <v>1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1</v>
      </c>
      <c r="AI10" s="31">
        <v>0</v>
      </c>
      <c r="AJ10" s="31">
        <v>0</v>
      </c>
      <c r="AK10" s="31">
        <v>0</v>
      </c>
      <c r="AL10" s="31">
        <v>0</v>
      </c>
      <c r="AM10" s="31">
        <v>1</v>
      </c>
      <c r="AN10" s="31">
        <v>0</v>
      </c>
      <c r="AO10" s="31">
        <v>0</v>
      </c>
      <c r="AP10" s="33">
        <v>2.5</v>
      </c>
      <c r="AQ10" s="27">
        <v>1</v>
      </c>
      <c r="AR10" s="44">
        <v>9</v>
      </c>
      <c r="AS10" s="30">
        <v>13</v>
      </c>
      <c r="AT10" s="42" t="s">
        <v>40</v>
      </c>
      <c r="AU10" s="42" t="s">
        <v>40</v>
      </c>
      <c r="AV10" s="45">
        <v>3</v>
      </c>
      <c r="AW10">
        <v>1</v>
      </c>
    </row>
    <row r="11" spans="1:49" x14ac:dyDescent="0.2">
      <c r="A11" s="31" t="s">
        <v>87</v>
      </c>
      <c r="B11" s="32" t="s">
        <v>45</v>
      </c>
      <c r="C11" s="32" t="s">
        <v>45</v>
      </c>
      <c r="D11" s="32" t="s">
        <v>47</v>
      </c>
      <c r="E11" s="32" t="s">
        <v>46</v>
      </c>
      <c r="F11" s="32" t="s">
        <v>47</v>
      </c>
      <c r="G11" s="32" t="s">
        <v>45</v>
      </c>
      <c r="H11" s="32" t="s">
        <v>46</v>
      </c>
      <c r="I11" s="32" t="s">
        <v>47</v>
      </c>
      <c r="J11" s="32" t="s">
        <v>45</v>
      </c>
      <c r="K11" s="32" t="s">
        <v>48</v>
      </c>
      <c r="L11" s="32" t="s">
        <v>47</v>
      </c>
      <c r="M11" s="32" t="s">
        <v>47</v>
      </c>
      <c r="N11" s="32" t="s">
        <v>46</v>
      </c>
      <c r="O11" s="32" t="s">
        <v>47</v>
      </c>
      <c r="P11" s="32" t="s">
        <v>45</v>
      </c>
      <c r="Q11" s="32" t="s">
        <v>47</v>
      </c>
      <c r="R11" s="32" t="s">
        <v>47</v>
      </c>
      <c r="S11" s="32" t="s">
        <v>45</v>
      </c>
      <c r="T11" s="32" t="s">
        <v>46</v>
      </c>
      <c r="U11" s="32" t="s">
        <v>48</v>
      </c>
      <c r="V11" s="31">
        <v>1</v>
      </c>
      <c r="W11" s="31">
        <v>1</v>
      </c>
      <c r="X11" s="31">
        <v>0</v>
      </c>
      <c r="Y11" s="31">
        <v>0</v>
      </c>
      <c r="Z11" s="31">
        <v>1</v>
      </c>
      <c r="AA11" s="31">
        <v>1</v>
      </c>
      <c r="AB11" s="31">
        <v>0</v>
      </c>
      <c r="AC11" s="31">
        <v>1</v>
      </c>
      <c r="AD11" s="31">
        <v>1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3">
        <v>2.5</v>
      </c>
      <c r="AQ11" s="27">
        <v>2</v>
      </c>
      <c r="AR11" s="7">
        <v>10</v>
      </c>
      <c r="AS11" s="30">
        <v>5</v>
      </c>
      <c r="AT11" s="42" t="s">
        <v>40</v>
      </c>
      <c r="AU11" s="42" t="s">
        <v>40</v>
      </c>
      <c r="AV11" s="45">
        <v>2</v>
      </c>
      <c r="AW11">
        <v>1</v>
      </c>
    </row>
    <row r="12" spans="1:49" x14ac:dyDescent="0.2">
      <c r="A12" s="31" t="s">
        <v>88</v>
      </c>
      <c r="B12" s="32" t="s">
        <v>45</v>
      </c>
      <c r="C12" s="32" t="s">
        <v>47</v>
      </c>
      <c r="D12" s="32" t="s">
        <v>47</v>
      </c>
      <c r="E12" s="32" t="s">
        <v>48</v>
      </c>
      <c r="F12" s="32" t="s">
        <v>47</v>
      </c>
      <c r="G12" s="32" t="s">
        <v>47</v>
      </c>
      <c r="H12" s="32" t="s">
        <v>46</v>
      </c>
      <c r="I12" s="32" t="s">
        <v>48</v>
      </c>
      <c r="J12" s="32" t="s">
        <v>48</v>
      </c>
      <c r="K12" s="32" t="s">
        <v>45</v>
      </c>
      <c r="L12" s="32" t="s">
        <v>45</v>
      </c>
      <c r="M12" s="32" t="s">
        <v>45</v>
      </c>
      <c r="N12" s="32" t="s">
        <v>45</v>
      </c>
      <c r="O12" s="32" t="s">
        <v>48</v>
      </c>
      <c r="P12" s="32" t="s">
        <v>47</v>
      </c>
      <c r="Q12" s="32" t="s">
        <v>47</v>
      </c>
      <c r="R12" s="32" t="s">
        <v>47</v>
      </c>
      <c r="S12" s="32" t="s">
        <v>45</v>
      </c>
      <c r="T12" s="32" t="s">
        <v>46</v>
      </c>
      <c r="U12" s="32" t="s">
        <v>48</v>
      </c>
      <c r="V12" s="31">
        <v>1</v>
      </c>
      <c r="W12" s="31">
        <v>0</v>
      </c>
      <c r="X12" s="31">
        <v>0</v>
      </c>
      <c r="Y12" s="31">
        <v>0</v>
      </c>
      <c r="Z12" s="31">
        <v>1</v>
      </c>
      <c r="AA12" s="31">
        <v>0</v>
      </c>
      <c r="AB12" s="31">
        <v>0</v>
      </c>
      <c r="AC12" s="31">
        <v>0</v>
      </c>
      <c r="AD12" s="31">
        <v>0</v>
      </c>
      <c r="AE12" s="31">
        <v>1</v>
      </c>
      <c r="AF12" s="31">
        <v>1</v>
      </c>
      <c r="AG12" s="31">
        <v>0</v>
      </c>
      <c r="AH12" s="31">
        <v>1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3">
        <v>2.25</v>
      </c>
      <c r="AQ12" s="27">
        <v>3</v>
      </c>
      <c r="AR12" s="7">
        <v>11</v>
      </c>
      <c r="AS12" s="30">
        <v>7</v>
      </c>
      <c r="AT12" s="42" t="s">
        <v>40</v>
      </c>
      <c r="AU12" s="42" t="s">
        <v>40</v>
      </c>
      <c r="AV12" s="45">
        <v>1</v>
      </c>
      <c r="AW12">
        <v>1</v>
      </c>
    </row>
    <row r="13" spans="1:49" x14ac:dyDescent="0.2">
      <c r="A13" s="31" t="s">
        <v>89</v>
      </c>
      <c r="B13" s="32" t="s">
        <v>45</v>
      </c>
      <c r="C13" s="32" t="s">
        <v>48</v>
      </c>
      <c r="D13" s="32" t="s">
        <v>47</v>
      </c>
      <c r="E13" s="32" t="s">
        <v>48</v>
      </c>
      <c r="F13" s="32" t="s">
        <v>47</v>
      </c>
      <c r="G13" s="32" t="s">
        <v>45</v>
      </c>
      <c r="H13" s="32" t="s">
        <v>46</v>
      </c>
      <c r="I13" s="32" t="s">
        <v>48</v>
      </c>
      <c r="J13" s="32" t="s">
        <v>47</v>
      </c>
      <c r="K13" s="32" t="s">
        <v>46</v>
      </c>
      <c r="L13" s="32" t="s">
        <v>45</v>
      </c>
      <c r="M13" s="32" t="s">
        <v>47</v>
      </c>
      <c r="N13" s="32" t="s">
        <v>46</v>
      </c>
      <c r="O13" s="32" t="s">
        <v>45</v>
      </c>
      <c r="P13" s="32" t="s">
        <v>46</v>
      </c>
      <c r="Q13" s="32" t="s">
        <v>47</v>
      </c>
      <c r="R13" s="32" t="s">
        <v>46</v>
      </c>
      <c r="S13" s="32" t="s">
        <v>47</v>
      </c>
      <c r="T13" s="32" t="s">
        <v>48</v>
      </c>
      <c r="U13" s="32" t="s">
        <v>45</v>
      </c>
      <c r="V13" s="31">
        <v>1</v>
      </c>
      <c r="W13" s="31">
        <v>0</v>
      </c>
      <c r="X13" s="31">
        <v>0</v>
      </c>
      <c r="Y13" s="31">
        <v>0</v>
      </c>
      <c r="Z13" s="31">
        <v>1</v>
      </c>
      <c r="AA13" s="31">
        <v>1</v>
      </c>
      <c r="AB13" s="31">
        <v>0</v>
      </c>
      <c r="AC13" s="31">
        <v>0</v>
      </c>
      <c r="AD13" s="31">
        <v>0</v>
      </c>
      <c r="AE13" s="31">
        <v>0</v>
      </c>
      <c r="AF13" s="31">
        <v>1</v>
      </c>
      <c r="AG13" s="31">
        <v>0</v>
      </c>
      <c r="AH13" s="31">
        <v>0</v>
      </c>
      <c r="AI13" s="31">
        <v>1</v>
      </c>
      <c r="AJ13" s="31">
        <v>0</v>
      </c>
      <c r="AK13" s="31">
        <v>0</v>
      </c>
      <c r="AL13" s="31">
        <v>0</v>
      </c>
      <c r="AM13" s="31">
        <v>1</v>
      </c>
      <c r="AN13" s="31">
        <v>1</v>
      </c>
      <c r="AO13" s="31">
        <v>0</v>
      </c>
      <c r="AP13" s="33">
        <v>2.75</v>
      </c>
      <c r="AQ13" s="27">
        <v>3</v>
      </c>
      <c r="AR13" s="7">
        <v>12</v>
      </c>
      <c r="AS13" s="30">
        <v>5</v>
      </c>
      <c r="AT13" s="42" t="s">
        <v>40</v>
      </c>
      <c r="AU13" s="42" t="s">
        <v>40</v>
      </c>
      <c r="AV13" s="45">
        <v>1</v>
      </c>
      <c r="AW13">
        <v>1</v>
      </c>
    </row>
    <row r="14" spans="1:49" x14ac:dyDescent="0.2">
      <c r="A14" s="31" t="s">
        <v>90</v>
      </c>
      <c r="B14" s="32" t="s">
        <v>46</v>
      </c>
      <c r="C14" s="32" t="s">
        <v>45</v>
      </c>
      <c r="D14" s="32" t="s">
        <v>47</v>
      </c>
      <c r="E14" s="32" t="s">
        <v>46</v>
      </c>
      <c r="F14" s="32" t="s">
        <v>45</v>
      </c>
      <c r="G14" s="32" t="s">
        <v>46</v>
      </c>
      <c r="H14" s="32" t="s">
        <v>45</v>
      </c>
      <c r="I14" s="32" t="s">
        <v>46</v>
      </c>
      <c r="J14" s="32" t="s">
        <v>45</v>
      </c>
      <c r="K14" s="32" t="s">
        <v>46</v>
      </c>
      <c r="L14" s="32" t="s">
        <v>47</v>
      </c>
      <c r="M14" s="32" t="s">
        <v>45</v>
      </c>
      <c r="N14" s="32" t="s">
        <v>48</v>
      </c>
      <c r="O14" s="32" t="s">
        <v>46</v>
      </c>
      <c r="P14" s="32" t="s">
        <v>45</v>
      </c>
      <c r="Q14" s="32" t="s">
        <v>47</v>
      </c>
      <c r="R14" s="32" t="s">
        <v>46</v>
      </c>
      <c r="S14" s="32" t="s">
        <v>48</v>
      </c>
      <c r="T14" s="32" t="s">
        <v>45</v>
      </c>
      <c r="U14" s="32" t="s">
        <v>46</v>
      </c>
      <c r="V14" s="31">
        <v>0</v>
      </c>
      <c r="W14" s="31">
        <v>1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  <c r="AC14" s="31">
        <v>0</v>
      </c>
      <c r="AD14" s="31">
        <v>1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1</v>
      </c>
      <c r="AP14" s="33">
        <v>2</v>
      </c>
      <c r="AQ14" s="27">
        <v>2</v>
      </c>
      <c r="AR14" s="7">
        <v>13</v>
      </c>
      <c r="AS14" s="30">
        <v>9</v>
      </c>
      <c r="AT14" s="42" t="s">
        <v>40</v>
      </c>
      <c r="AU14" s="42" t="s">
        <v>40</v>
      </c>
      <c r="AV14" s="45">
        <v>1</v>
      </c>
      <c r="AW14">
        <v>1</v>
      </c>
    </row>
    <row r="15" spans="1:49" x14ac:dyDescent="0.2">
      <c r="A15" s="31" t="s">
        <v>91</v>
      </c>
      <c r="B15" s="32" t="s">
        <v>45</v>
      </c>
      <c r="C15" s="32" t="s">
        <v>45</v>
      </c>
      <c r="D15" s="32" t="s">
        <v>48</v>
      </c>
      <c r="E15" s="32" t="s">
        <v>45</v>
      </c>
      <c r="F15" s="32" t="s">
        <v>47</v>
      </c>
      <c r="G15" s="32" t="s">
        <v>45</v>
      </c>
      <c r="H15" s="32" t="s">
        <v>48</v>
      </c>
      <c r="I15" s="32" t="s">
        <v>48</v>
      </c>
      <c r="J15" s="32" t="s">
        <v>45</v>
      </c>
      <c r="K15" s="32" t="s">
        <v>47</v>
      </c>
      <c r="L15" s="32" t="s">
        <v>47</v>
      </c>
      <c r="M15" s="32" t="s">
        <v>45</v>
      </c>
      <c r="N15" s="32" t="s">
        <v>45</v>
      </c>
      <c r="O15" s="32" t="s">
        <v>48</v>
      </c>
      <c r="P15" s="32" t="s">
        <v>46</v>
      </c>
      <c r="Q15" s="32" t="s">
        <v>46</v>
      </c>
      <c r="R15" s="32" t="s">
        <v>47</v>
      </c>
      <c r="S15" s="32" t="s">
        <v>47</v>
      </c>
      <c r="T15" s="32" t="s">
        <v>45</v>
      </c>
      <c r="U15" s="32" t="s">
        <v>48</v>
      </c>
      <c r="V15" s="31">
        <v>1</v>
      </c>
      <c r="W15" s="31">
        <v>1</v>
      </c>
      <c r="X15" s="31">
        <v>0</v>
      </c>
      <c r="Y15" s="31">
        <v>0</v>
      </c>
      <c r="Z15" s="31">
        <v>1</v>
      </c>
      <c r="AA15" s="31">
        <v>1</v>
      </c>
      <c r="AB15" s="31">
        <v>0</v>
      </c>
      <c r="AC15" s="31">
        <v>0</v>
      </c>
      <c r="AD15" s="31">
        <v>1</v>
      </c>
      <c r="AE15" s="31">
        <v>0</v>
      </c>
      <c r="AF15" s="31">
        <v>0</v>
      </c>
      <c r="AG15" s="31">
        <v>0</v>
      </c>
      <c r="AH15" s="31">
        <v>1</v>
      </c>
      <c r="AI15" s="31">
        <v>0</v>
      </c>
      <c r="AJ15" s="31">
        <v>0</v>
      </c>
      <c r="AK15" s="31">
        <v>1</v>
      </c>
      <c r="AL15" s="31">
        <v>0</v>
      </c>
      <c r="AM15" s="31">
        <v>1</v>
      </c>
      <c r="AN15" s="31">
        <v>0</v>
      </c>
      <c r="AO15" s="31">
        <v>0</v>
      </c>
      <c r="AP15" s="33">
        <v>3</v>
      </c>
      <c r="AQ15" s="27">
        <v>2</v>
      </c>
      <c r="AR15" s="7">
        <v>14</v>
      </c>
      <c r="AS15" s="30">
        <v>2</v>
      </c>
      <c r="AT15" s="42" t="s">
        <v>40</v>
      </c>
      <c r="AU15" s="42" t="s">
        <v>40</v>
      </c>
      <c r="AV15" s="45">
        <v>5</v>
      </c>
      <c r="AW15">
        <v>1</v>
      </c>
    </row>
    <row r="16" spans="1:49" x14ac:dyDescent="0.2">
      <c r="A16" s="31" t="s">
        <v>92</v>
      </c>
      <c r="B16" s="32" t="s">
        <v>46</v>
      </c>
      <c r="C16" s="32" t="s">
        <v>48</v>
      </c>
      <c r="D16" s="32" t="s">
        <v>47</v>
      </c>
      <c r="E16" s="32" t="s">
        <v>45</v>
      </c>
      <c r="F16" s="32" t="s">
        <v>48</v>
      </c>
      <c r="G16" s="32" t="s">
        <v>47</v>
      </c>
      <c r="H16" s="32" t="s">
        <v>46</v>
      </c>
      <c r="I16" s="32" t="s">
        <v>48</v>
      </c>
      <c r="J16" s="32" t="s">
        <v>45</v>
      </c>
      <c r="K16" s="32" t="s">
        <v>45</v>
      </c>
      <c r="L16" s="32" t="s">
        <v>48</v>
      </c>
      <c r="M16" s="32" t="s">
        <v>46</v>
      </c>
      <c r="N16" s="32" t="s">
        <v>48</v>
      </c>
      <c r="O16" s="32" t="s">
        <v>46</v>
      </c>
      <c r="P16" s="32" t="s">
        <v>47</v>
      </c>
      <c r="Q16" s="32" t="s">
        <v>45</v>
      </c>
      <c r="R16" s="32" t="s">
        <v>48</v>
      </c>
      <c r="S16" s="32" t="s">
        <v>47</v>
      </c>
      <c r="T16" s="32" t="s">
        <v>46</v>
      </c>
      <c r="U16" s="32" t="s">
        <v>48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1</v>
      </c>
      <c r="AE16" s="31">
        <v>1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1</v>
      </c>
      <c r="AN16" s="31">
        <v>0</v>
      </c>
      <c r="AO16" s="31">
        <v>0</v>
      </c>
      <c r="AP16" s="33">
        <v>1.75</v>
      </c>
      <c r="AQ16" s="27">
        <v>1</v>
      </c>
      <c r="AR16" s="44">
        <v>15</v>
      </c>
      <c r="AS16" s="30">
        <v>4</v>
      </c>
      <c r="AT16" s="42" t="s">
        <v>40</v>
      </c>
      <c r="AU16" s="42" t="s">
        <v>40</v>
      </c>
      <c r="AV16" s="45">
        <v>1</v>
      </c>
      <c r="AW16">
        <v>1</v>
      </c>
    </row>
    <row r="17" spans="1:49" x14ac:dyDescent="0.2">
      <c r="A17" s="31" t="s">
        <v>93</v>
      </c>
      <c r="B17" s="32" t="s">
        <v>45</v>
      </c>
      <c r="C17" s="32" t="s">
        <v>46</v>
      </c>
      <c r="D17" s="32" t="s">
        <v>45</v>
      </c>
      <c r="E17" s="32" t="s">
        <v>45</v>
      </c>
      <c r="F17" s="32" t="s">
        <v>47</v>
      </c>
      <c r="G17" s="32" t="s">
        <v>45</v>
      </c>
      <c r="H17" s="32" t="s">
        <v>46</v>
      </c>
      <c r="I17" s="32" t="s">
        <v>47</v>
      </c>
      <c r="J17" s="32" t="s">
        <v>45</v>
      </c>
      <c r="K17" s="32" t="s">
        <v>48</v>
      </c>
      <c r="L17" s="32" t="s">
        <v>46</v>
      </c>
      <c r="M17" s="32" t="s">
        <v>47</v>
      </c>
      <c r="N17" s="32" t="s">
        <v>46</v>
      </c>
      <c r="O17" s="32" t="s">
        <v>47</v>
      </c>
      <c r="P17" s="32" t="s">
        <v>45</v>
      </c>
      <c r="Q17" s="32" t="s">
        <v>48</v>
      </c>
      <c r="R17" s="32" t="s">
        <v>46</v>
      </c>
      <c r="S17" s="32" t="s">
        <v>47</v>
      </c>
      <c r="T17" s="32" t="s">
        <v>45</v>
      </c>
      <c r="U17" s="32" t="s">
        <v>48</v>
      </c>
      <c r="V17" s="31">
        <v>1</v>
      </c>
      <c r="W17" s="31">
        <v>0</v>
      </c>
      <c r="X17" s="31">
        <v>0</v>
      </c>
      <c r="Y17" s="31">
        <v>0</v>
      </c>
      <c r="Z17" s="31">
        <v>1</v>
      </c>
      <c r="AA17" s="31">
        <v>1</v>
      </c>
      <c r="AB17" s="31">
        <v>0</v>
      </c>
      <c r="AC17" s="31">
        <v>1</v>
      </c>
      <c r="AD17" s="31">
        <v>1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1</v>
      </c>
      <c r="AN17" s="31">
        <v>0</v>
      </c>
      <c r="AO17" s="31">
        <v>0</v>
      </c>
      <c r="AP17" s="33">
        <v>2.5</v>
      </c>
      <c r="AQ17" s="27">
        <v>1</v>
      </c>
      <c r="AR17" s="44">
        <v>16</v>
      </c>
      <c r="AS17" s="30">
        <v>7</v>
      </c>
      <c r="AT17" s="42" t="s">
        <v>40</v>
      </c>
      <c r="AU17" s="42" t="s">
        <v>40</v>
      </c>
      <c r="AV17" s="45">
        <v>4</v>
      </c>
      <c r="AW17">
        <v>1</v>
      </c>
    </row>
    <row r="18" spans="1:49" x14ac:dyDescent="0.2">
      <c r="A18" s="31" t="s">
        <v>94</v>
      </c>
      <c r="B18" s="32" t="s">
        <v>46</v>
      </c>
      <c r="C18" s="32" t="s">
        <v>46</v>
      </c>
      <c r="D18" s="32" t="s">
        <v>46</v>
      </c>
      <c r="E18" s="32" t="s">
        <v>48</v>
      </c>
      <c r="F18" s="32" t="s">
        <v>45</v>
      </c>
      <c r="G18" s="32" t="s">
        <v>45</v>
      </c>
      <c r="H18" s="32" t="s">
        <v>46</v>
      </c>
      <c r="I18" s="32" t="s">
        <v>48</v>
      </c>
      <c r="J18" s="32" t="s">
        <v>47</v>
      </c>
      <c r="K18" s="32" t="s">
        <v>47</v>
      </c>
      <c r="L18" s="32" t="s">
        <v>45</v>
      </c>
      <c r="M18" s="32" t="s">
        <v>48</v>
      </c>
      <c r="N18" s="32" t="s">
        <v>46</v>
      </c>
      <c r="O18" s="32" t="s">
        <v>45</v>
      </c>
      <c r="P18" s="32" t="s">
        <v>47</v>
      </c>
      <c r="Q18" s="32" t="s">
        <v>46</v>
      </c>
      <c r="R18" s="32" t="s">
        <v>48</v>
      </c>
      <c r="S18" s="32" t="s">
        <v>45</v>
      </c>
      <c r="T18" s="32" t="s">
        <v>47</v>
      </c>
      <c r="U18" s="32" t="s">
        <v>6</v>
      </c>
      <c r="V18" s="31">
        <v>0</v>
      </c>
      <c r="W18" s="31">
        <v>0</v>
      </c>
      <c r="X18" s="31">
        <v>1</v>
      </c>
      <c r="Y18" s="31">
        <v>0</v>
      </c>
      <c r="Z18" s="31">
        <v>0</v>
      </c>
      <c r="AA18" s="31">
        <v>1</v>
      </c>
      <c r="AB18" s="31">
        <v>0</v>
      </c>
      <c r="AC18" s="31">
        <v>0</v>
      </c>
      <c r="AD18" s="31">
        <v>0</v>
      </c>
      <c r="AE18" s="31">
        <v>0</v>
      </c>
      <c r="AF18" s="31">
        <v>1</v>
      </c>
      <c r="AG18" s="31">
        <v>1</v>
      </c>
      <c r="AH18" s="31">
        <v>0</v>
      </c>
      <c r="AI18" s="31">
        <v>1</v>
      </c>
      <c r="AJ18" s="31">
        <v>0</v>
      </c>
      <c r="AK18" s="31">
        <v>1</v>
      </c>
      <c r="AL18" s="31">
        <v>0</v>
      </c>
      <c r="AM18" s="31">
        <v>0</v>
      </c>
      <c r="AN18" s="31">
        <v>0</v>
      </c>
      <c r="AO18" s="31">
        <v>0</v>
      </c>
      <c r="AP18" s="33">
        <v>2.5</v>
      </c>
      <c r="AQ18" s="27">
        <v>2</v>
      </c>
      <c r="AR18" s="7">
        <v>17</v>
      </c>
      <c r="AS18" s="30">
        <v>4</v>
      </c>
      <c r="AT18" s="42" t="s">
        <v>40</v>
      </c>
      <c r="AU18" s="42" t="s">
        <v>40</v>
      </c>
      <c r="AV18" s="45">
        <v>1</v>
      </c>
      <c r="AW18">
        <v>1</v>
      </c>
    </row>
    <row r="19" spans="1:49" x14ac:dyDescent="0.2">
      <c r="A19" s="31" t="s">
        <v>95</v>
      </c>
      <c r="B19" s="32" t="s">
        <v>45</v>
      </c>
      <c r="C19" s="32" t="s">
        <v>46</v>
      </c>
      <c r="D19" s="32" t="s">
        <v>47</v>
      </c>
      <c r="E19" s="32" t="s">
        <v>47</v>
      </c>
      <c r="F19" s="32" t="s">
        <v>47</v>
      </c>
      <c r="G19" s="32" t="s">
        <v>45</v>
      </c>
      <c r="H19" s="32" t="s">
        <v>46</v>
      </c>
      <c r="I19" s="32" t="s">
        <v>47</v>
      </c>
      <c r="J19" s="32" t="s">
        <v>45</v>
      </c>
      <c r="K19" s="32" t="s">
        <v>48</v>
      </c>
      <c r="L19" s="32" t="s">
        <v>47</v>
      </c>
      <c r="M19" s="32" t="s">
        <v>47</v>
      </c>
      <c r="N19" s="32" t="s">
        <v>46</v>
      </c>
      <c r="O19" s="32" t="s">
        <v>47</v>
      </c>
      <c r="P19" s="32" t="s">
        <v>45</v>
      </c>
      <c r="Q19" s="32" t="s">
        <v>48</v>
      </c>
      <c r="R19" s="32" t="s">
        <v>46</v>
      </c>
      <c r="S19" s="32" t="s">
        <v>47</v>
      </c>
      <c r="T19" s="32" t="s">
        <v>45</v>
      </c>
      <c r="U19" s="32" t="s">
        <v>48</v>
      </c>
      <c r="V19" s="31">
        <v>1</v>
      </c>
      <c r="W19" s="31">
        <v>0</v>
      </c>
      <c r="X19" s="31">
        <v>0</v>
      </c>
      <c r="Y19" s="31">
        <v>1</v>
      </c>
      <c r="Z19" s="31">
        <v>1</v>
      </c>
      <c r="AA19" s="31">
        <v>1</v>
      </c>
      <c r="AB19" s="31">
        <v>0</v>
      </c>
      <c r="AC19" s="31">
        <v>1</v>
      </c>
      <c r="AD19" s="31">
        <v>1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1</v>
      </c>
      <c r="AN19" s="31">
        <v>0</v>
      </c>
      <c r="AO19" s="31">
        <v>0</v>
      </c>
      <c r="AP19" s="33">
        <v>2.75</v>
      </c>
      <c r="AQ19" s="27">
        <v>1</v>
      </c>
      <c r="AR19" s="44">
        <v>18</v>
      </c>
      <c r="AS19" s="30">
        <v>15</v>
      </c>
      <c r="AT19" s="42" t="s">
        <v>40</v>
      </c>
      <c r="AU19" s="42" t="s">
        <v>40</v>
      </c>
      <c r="AV19" s="45">
        <v>4</v>
      </c>
      <c r="AW19">
        <v>1</v>
      </c>
    </row>
    <row r="20" spans="1:49" x14ac:dyDescent="0.2">
      <c r="A20" s="31" t="s">
        <v>96</v>
      </c>
      <c r="B20" s="32" t="s">
        <v>47</v>
      </c>
      <c r="C20" s="32" t="s">
        <v>48</v>
      </c>
      <c r="D20" s="32" t="s">
        <v>46</v>
      </c>
      <c r="E20" s="32" t="s">
        <v>46</v>
      </c>
      <c r="F20" s="32" t="s">
        <v>47</v>
      </c>
      <c r="G20" s="32" t="s">
        <v>45</v>
      </c>
      <c r="H20" s="32" t="s">
        <v>45</v>
      </c>
      <c r="I20" s="32" t="s">
        <v>46</v>
      </c>
      <c r="J20" s="32" t="s">
        <v>47</v>
      </c>
      <c r="K20" s="32" t="s">
        <v>47</v>
      </c>
      <c r="L20" s="32" t="s">
        <v>45</v>
      </c>
      <c r="M20" s="32" t="s">
        <v>46</v>
      </c>
      <c r="N20" s="32" t="s">
        <v>46</v>
      </c>
      <c r="O20" s="32" t="s">
        <v>46</v>
      </c>
      <c r="P20" s="32" t="s">
        <v>6</v>
      </c>
      <c r="Q20" s="32" t="s">
        <v>45</v>
      </c>
      <c r="R20" s="32" t="s">
        <v>47</v>
      </c>
      <c r="S20" s="32" t="s">
        <v>48</v>
      </c>
      <c r="T20" s="32" t="s">
        <v>46</v>
      </c>
      <c r="U20" s="32" t="s">
        <v>47</v>
      </c>
      <c r="V20" s="31">
        <v>0</v>
      </c>
      <c r="W20" s="31">
        <v>0</v>
      </c>
      <c r="X20" s="31">
        <v>1</v>
      </c>
      <c r="Y20" s="31">
        <v>0</v>
      </c>
      <c r="Z20" s="31">
        <v>1</v>
      </c>
      <c r="AA20" s="31">
        <v>1</v>
      </c>
      <c r="AB20" s="31">
        <v>1</v>
      </c>
      <c r="AC20" s="31">
        <v>0</v>
      </c>
      <c r="AD20" s="31">
        <v>0</v>
      </c>
      <c r="AE20" s="31">
        <v>0</v>
      </c>
      <c r="AF20" s="31">
        <v>1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3">
        <v>2.25</v>
      </c>
      <c r="AQ20" s="27">
        <v>1</v>
      </c>
      <c r="AR20" s="44">
        <v>19</v>
      </c>
      <c r="AS20" s="30">
        <v>2</v>
      </c>
      <c r="AT20" s="42" t="s">
        <v>40</v>
      </c>
      <c r="AU20" s="42" t="s">
        <v>40</v>
      </c>
      <c r="AV20" s="45">
        <v>5</v>
      </c>
      <c r="AW20">
        <v>1</v>
      </c>
    </row>
    <row r="21" spans="1:49" x14ac:dyDescent="0.2">
      <c r="A21" s="31" t="s">
        <v>143</v>
      </c>
      <c r="B21" s="32" t="s">
        <v>47</v>
      </c>
      <c r="C21" s="32" t="s">
        <v>46</v>
      </c>
      <c r="D21" s="32" t="s">
        <v>46</v>
      </c>
      <c r="E21" s="32" t="s">
        <v>48</v>
      </c>
      <c r="F21" s="32" t="s">
        <v>45</v>
      </c>
      <c r="G21" s="32" t="s">
        <v>47</v>
      </c>
      <c r="H21" s="32" t="s">
        <v>46</v>
      </c>
      <c r="I21" s="32" t="s">
        <v>46</v>
      </c>
      <c r="J21" s="32" t="s">
        <v>47</v>
      </c>
      <c r="K21" s="32" t="s">
        <v>45</v>
      </c>
      <c r="L21" s="32" t="s">
        <v>47</v>
      </c>
      <c r="M21" s="32" t="s">
        <v>48</v>
      </c>
      <c r="N21" s="32" t="s">
        <v>48</v>
      </c>
      <c r="O21" s="32" t="s">
        <v>47</v>
      </c>
      <c r="P21" s="32" t="s">
        <v>46</v>
      </c>
      <c r="Q21" s="32" t="s">
        <v>47</v>
      </c>
      <c r="R21" s="32" t="s">
        <v>46</v>
      </c>
      <c r="S21" s="32" t="s">
        <v>48</v>
      </c>
      <c r="T21" s="32" t="s">
        <v>46</v>
      </c>
      <c r="U21" s="32" t="s">
        <v>45</v>
      </c>
      <c r="V21" s="31">
        <v>0</v>
      </c>
      <c r="W21" s="31">
        <v>0</v>
      </c>
      <c r="X21" s="31">
        <v>1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1</v>
      </c>
      <c r="AF21" s="31">
        <v>0</v>
      </c>
      <c r="AG21" s="31">
        <v>1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3">
        <v>1.75</v>
      </c>
      <c r="AQ21" s="27">
        <v>1</v>
      </c>
      <c r="AR21" s="44">
        <v>20</v>
      </c>
      <c r="AS21" s="30">
        <v>5</v>
      </c>
      <c r="AT21" s="42" t="s">
        <v>40</v>
      </c>
      <c r="AU21" s="42" t="s">
        <v>40</v>
      </c>
      <c r="AV21" s="45">
        <v>5</v>
      </c>
      <c r="AW21">
        <v>1</v>
      </c>
    </row>
    <row r="22" spans="1:49" x14ac:dyDescent="0.2">
      <c r="A22" s="31" t="s">
        <v>97</v>
      </c>
      <c r="B22" s="32" t="s">
        <v>45</v>
      </c>
      <c r="C22" s="32" t="s">
        <v>46</v>
      </c>
      <c r="D22" s="32" t="s">
        <v>45</v>
      </c>
      <c r="E22" s="32" t="s">
        <v>46</v>
      </c>
      <c r="F22" s="32" t="s">
        <v>47</v>
      </c>
      <c r="G22" s="32" t="s">
        <v>45</v>
      </c>
      <c r="H22" s="32" t="s">
        <v>46</v>
      </c>
      <c r="I22" s="32" t="s">
        <v>47</v>
      </c>
      <c r="J22" s="32" t="s">
        <v>45</v>
      </c>
      <c r="K22" s="32" t="s">
        <v>48</v>
      </c>
      <c r="L22" s="32" t="s">
        <v>47</v>
      </c>
      <c r="M22" s="32" t="s">
        <v>47</v>
      </c>
      <c r="N22" s="32" t="s">
        <v>46</v>
      </c>
      <c r="O22" s="32" t="s">
        <v>47</v>
      </c>
      <c r="P22" s="32" t="s">
        <v>45</v>
      </c>
      <c r="Q22" s="32" t="s">
        <v>48</v>
      </c>
      <c r="R22" s="32" t="s">
        <v>46</v>
      </c>
      <c r="S22" s="32" t="s">
        <v>47</v>
      </c>
      <c r="T22" s="32" t="s">
        <v>45</v>
      </c>
      <c r="U22" s="32" t="s">
        <v>46</v>
      </c>
      <c r="V22" s="31">
        <v>1</v>
      </c>
      <c r="W22" s="31">
        <v>0</v>
      </c>
      <c r="X22" s="31">
        <v>0</v>
      </c>
      <c r="Y22" s="31">
        <v>0</v>
      </c>
      <c r="Z22" s="31">
        <v>1</v>
      </c>
      <c r="AA22" s="31">
        <v>1</v>
      </c>
      <c r="AB22" s="31">
        <v>0</v>
      </c>
      <c r="AC22" s="31">
        <v>1</v>
      </c>
      <c r="AD22" s="31">
        <v>1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1</v>
      </c>
      <c r="AN22" s="31">
        <v>0</v>
      </c>
      <c r="AO22" s="31">
        <v>1</v>
      </c>
      <c r="AP22" s="33">
        <v>2.75</v>
      </c>
      <c r="AQ22" s="27">
        <v>3</v>
      </c>
      <c r="AR22" s="7">
        <v>1</v>
      </c>
      <c r="AS22" s="30">
        <v>12</v>
      </c>
      <c r="AT22" s="42" t="s">
        <v>40</v>
      </c>
      <c r="AU22" s="23" t="s">
        <v>142</v>
      </c>
      <c r="AV22" s="46">
        <v>4</v>
      </c>
      <c r="AW22">
        <v>1</v>
      </c>
    </row>
    <row r="23" spans="1:49" x14ac:dyDescent="0.2">
      <c r="A23" s="31" t="s">
        <v>98</v>
      </c>
      <c r="B23" s="32" t="s">
        <v>45</v>
      </c>
      <c r="C23" s="32" t="s">
        <v>47</v>
      </c>
      <c r="D23" s="32" t="s">
        <v>47</v>
      </c>
      <c r="E23" s="32" t="s">
        <v>47</v>
      </c>
      <c r="F23" s="32" t="s">
        <v>47</v>
      </c>
      <c r="G23" s="32" t="s">
        <v>45</v>
      </c>
      <c r="H23" s="32" t="s">
        <v>45</v>
      </c>
      <c r="I23" s="32" t="s">
        <v>46</v>
      </c>
      <c r="J23" s="32" t="s">
        <v>48</v>
      </c>
      <c r="K23" s="32" t="s">
        <v>45</v>
      </c>
      <c r="L23" s="32" t="s">
        <v>46</v>
      </c>
      <c r="M23" s="32" t="s">
        <v>46</v>
      </c>
      <c r="N23" s="32" t="s">
        <v>45</v>
      </c>
      <c r="O23" s="32" t="s">
        <v>47</v>
      </c>
      <c r="P23" s="32" t="s">
        <v>48</v>
      </c>
      <c r="Q23" s="32" t="s">
        <v>48</v>
      </c>
      <c r="R23" s="32" t="s">
        <v>46</v>
      </c>
      <c r="S23" s="32" t="s">
        <v>47</v>
      </c>
      <c r="T23" s="32" t="s">
        <v>47</v>
      </c>
      <c r="U23" s="32" t="s">
        <v>48</v>
      </c>
      <c r="V23" s="31">
        <v>1</v>
      </c>
      <c r="W23" s="31">
        <v>0</v>
      </c>
      <c r="X23" s="31">
        <v>0</v>
      </c>
      <c r="Y23" s="31">
        <v>1</v>
      </c>
      <c r="Z23" s="31">
        <v>1</v>
      </c>
      <c r="AA23" s="31">
        <v>1</v>
      </c>
      <c r="AB23" s="31">
        <v>1</v>
      </c>
      <c r="AC23" s="31">
        <v>0</v>
      </c>
      <c r="AD23" s="31">
        <v>0</v>
      </c>
      <c r="AE23" s="31">
        <v>1</v>
      </c>
      <c r="AF23" s="31">
        <v>0</v>
      </c>
      <c r="AG23" s="31">
        <v>0</v>
      </c>
      <c r="AH23" s="31">
        <v>1</v>
      </c>
      <c r="AI23" s="31">
        <v>0</v>
      </c>
      <c r="AJ23" s="31">
        <v>1</v>
      </c>
      <c r="AK23" s="31">
        <v>0</v>
      </c>
      <c r="AL23" s="31">
        <v>0</v>
      </c>
      <c r="AM23" s="31">
        <v>1</v>
      </c>
      <c r="AN23" s="31">
        <v>0</v>
      </c>
      <c r="AO23" s="31">
        <v>0</v>
      </c>
      <c r="AP23" s="33">
        <v>3.25</v>
      </c>
      <c r="AQ23" s="27">
        <v>2</v>
      </c>
      <c r="AR23" s="7">
        <v>2</v>
      </c>
      <c r="AS23" s="30">
        <v>10</v>
      </c>
      <c r="AT23" s="42" t="s">
        <v>40</v>
      </c>
      <c r="AU23" s="23" t="s">
        <v>142</v>
      </c>
      <c r="AV23" s="46">
        <v>4</v>
      </c>
      <c r="AW23">
        <v>1</v>
      </c>
    </row>
    <row r="24" spans="1:49" x14ac:dyDescent="0.2">
      <c r="A24" s="31" t="s">
        <v>99</v>
      </c>
      <c r="B24" s="32" t="s">
        <v>45</v>
      </c>
      <c r="C24" s="32" t="s">
        <v>46</v>
      </c>
      <c r="D24" s="32" t="s">
        <v>45</v>
      </c>
      <c r="E24" s="32" t="s">
        <v>46</v>
      </c>
      <c r="F24" s="32" t="s">
        <v>47</v>
      </c>
      <c r="G24" s="32" t="s">
        <v>45</v>
      </c>
      <c r="H24" s="32" t="s">
        <v>46</v>
      </c>
      <c r="I24" s="32" t="s">
        <v>47</v>
      </c>
      <c r="J24" s="32" t="s">
        <v>45</v>
      </c>
      <c r="K24" s="32" t="s">
        <v>48</v>
      </c>
      <c r="L24" s="32" t="s">
        <v>47</v>
      </c>
      <c r="M24" s="32" t="s">
        <v>47</v>
      </c>
      <c r="N24" s="32" t="s">
        <v>48</v>
      </c>
      <c r="O24" s="32" t="s">
        <v>47</v>
      </c>
      <c r="P24" s="32" t="s">
        <v>48</v>
      </c>
      <c r="Q24" s="32" t="s">
        <v>47</v>
      </c>
      <c r="R24" s="32" t="s">
        <v>45</v>
      </c>
      <c r="S24" s="32" t="s">
        <v>47</v>
      </c>
      <c r="T24" s="32" t="s">
        <v>45</v>
      </c>
      <c r="U24" s="32" t="s">
        <v>47</v>
      </c>
      <c r="V24" s="31">
        <v>1</v>
      </c>
      <c r="W24" s="31">
        <v>0</v>
      </c>
      <c r="X24" s="31">
        <v>0</v>
      </c>
      <c r="Y24" s="31">
        <v>0</v>
      </c>
      <c r="Z24" s="31">
        <v>1</v>
      </c>
      <c r="AA24" s="31">
        <v>1</v>
      </c>
      <c r="AB24" s="31">
        <v>0</v>
      </c>
      <c r="AC24" s="31">
        <v>1</v>
      </c>
      <c r="AD24" s="31">
        <v>1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1</v>
      </c>
      <c r="AK24" s="31">
        <v>0</v>
      </c>
      <c r="AL24" s="31">
        <v>1</v>
      </c>
      <c r="AM24" s="31">
        <v>1</v>
      </c>
      <c r="AN24" s="31">
        <v>0</v>
      </c>
      <c r="AO24" s="31">
        <v>0</v>
      </c>
      <c r="AP24" s="33">
        <v>3</v>
      </c>
      <c r="AQ24" s="27">
        <v>2</v>
      </c>
      <c r="AR24" s="7">
        <v>3</v>
      </c>
      <c r="AS24" s="30">
        <v>12</v>
      </c>
      <c r="AT24" s="42" t="s">
        <v>40</v>
      </c>
      <c r="AU24" s="23" t="s">
        <v>142</v>
      </c>
      <c r="AV24" s="46">
        <v>3</v>
      </c>
      <c r="AW24">
        <v>1</v>
      </c>
    </row>
    <row r="25" spans="1:49" x14ac:dyDescent="0.2">
      <c r="A25" s="31" t="s">
        <v>100</v>
      </c>
      <c r="B25" s="32" t="s">
        <v>45</v>
      </c>
      <c r="C25" s="32" t="s">
        <v>47</v>
      </c>
      <c r="D25" s="32" t="s">
        <v>46</v>
      </c>
      <c r="E25" s="32" t="s">
        <v>47</v>
      </c>
      <c r="F25" s="32" t="s">
        <v>45</v>
      </c>
      <c r="G25" s="32" t="s">
        <v>47</v>
      </c>
      <c r="H25" s="32" t="s">
        <v>48</v>
      </c>
      <c r="I25" s="32" t="s">
        <v>48</v>
      </c>
      <c r="J25" s="32" t="s">
        <v>45</v>
      </c>
      <c r="K25" s="32" t="s">
        <v>47</v>
      </c>
      <c r="L25" s="32" t="s">
        <v>48</v>
      </c>
      <c r="M25" s="32" t="s">
        <v>46</v>
      </c>
      <c r="N25" s="32" t="s">
        <v>45</v>
      </c>
      <c r="O25" s="32" t="s">
        <v>47</v>
      </c>
      <c r="P25" s="32" t="s">
        <v>45</v>
      </c>
      <c r="Q25" s="32" t="s">
        <v>45</v>
      </c>
      <c r="R25" s="32" t="s">
        <v>47</v>
      </c>
      <c r="S25" s="32" t="s">
        <v>45</v>
      </c>
      <c r="T25" s="32" t="s">
        <v>46</v>
      </c>
      <c r="U25" s="32" t="s">
        <v>48</v>
      </c>
      <c r="V25" s="31">
        <v>1</v>
      </c>
      <c r="W25" s="31">
        <v>0</v>
      </c>
      <c r="X25" s="31">
        <v>1</v>
      </c>
      <c r="Y25" s="31">
        <v>1</v>
      </c>
      <c r="Z25" s="31">
        <v>0</v>
      </c>
      <c r="AA25" s="31">
        <v>0</v>
      </c>
      <c r="AB25" s="31">
        <v>0</v>
      </c>
      <c r="AC25" s="31">
        <v>0</v>
      </c>
      <c r="AD25" s="31">
        <v>1</v>
      </c>
      <c r="AE25" s="31">
        <v>0</v>
      </c>
      <c r="AF25" s="31">
        <v>0</v>
      </c>
      <c r="AG25" s="31">
        <v>0</v>
      </c>
      <c r="AH25" s="31">
        <v>1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3">
        <v>2.25</v>
      </c>
      <c r="AQ25" s="27">
        <v>1</v>
      </c>
      <c r="AR25" s="44">
        <v>4</v>
      </c>
      <c r="AS25" s="30">
        <v>26</v>
      </c>
      <c r="AT25" s="42" t="s">
        <v>40</v>
      </c>
      <c r="AU25" s="23" t="s">
        <v>142</v>
      </c>
      <c r="AV25" s="46">
        <v>4</v>
      </c>
      <c r="AW25">
        <v>1</v>
      </c>
    </row>
    <row r="26" spans="1:49" x14ac:dyDescent="0.2">
      <c r="A26" s="31" t="s">
        <v>101</v>
      </c>
      <c r="B26" s="32" t="s">
        <v>45</v>
      </c>
      <c r="C26" s="32" t="s">
        <v>47</v>
      </c>
      <c r="D26" s="32" t="s">
        <v>46</v>
      </c>
      <c r="E26" s="32" t="s">
        <v>46</v>
      </c>
      <c r="F26" s="32" t="s">
        <v>46</v>
      </c>
      <c r="G26" s="32" t="s">
        <v>47</v>
      </c>
      <c r="H26" s="32" t="s">
        <v>48</v>
      </c>
      <c r="I26" s="32" t="s">
        <v>48</v>
      </c>
      <c r="J26" s="32" t="s">
        <v>47</v>
      </c>
      <c r="K26" s="32" t="s">
        <v>47</v>
      </c>
      <c r="L26" s="32" t="s">
        <v>48</v>
      </c>
      <c r="M26" s="32" t="s">
        <v>47</v>
      </c>
      <c r="N26" s="32" t="s">
        <v>48</v>
      </c>
      <c r="O26" s="32" t="s">
        <v>47</v>
      </c>
      <c r="P26" s="32" t="s">
        <v>48</v>
      </c>
      <c r="Q26" s="32" t="s">
        <v>45</v>
      </c>
      <c r="R26" s="32" t="s">
        <v>47</v>
      </c>
      <c r="S26" s="32" t="s">
        <v>47</v>
      </c>
      <c r="T26" s="32" t="s">
        <v>47</v>
      </c>
      <c r="U26" s="32" t="s">
        <v>48</v>
      </c>
      <c r="V26" s="31">
        <v>1</v>
      </c>
      <c r="W26" s="31">
        <v>0</v>
      </c>
      <c r="X26" s="31">
        <v>1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1</v>
      </c>
      <c r="AK26" s="31">
        <v>0</v>
      </c>
      <c r="AL26" s="31">
        <v>0</v>
      </c>
      <c r="AM26" s="31">
        <v>1</v>
      </c>
      <c r="AN26" s="31">
        <v>0</v>
      </c>
      <c r="AO26" s="31">
        <v>0</v>
      </c>
      <c r="AP26" s="33">
        <v>2</v>
      </c>
      <c r="AQ26" s="27">
        <v>1</v>
      </c>
      <c r="AR26" s="44">
        <v>5</v>
      </c>
      <c r="AS26" s="30">
        <v>4</v>
      </c>
      <c r="AT26" s="42" t="s">
        <v>40</v>
      </c>
      <c r="AU26" s="23" t="s">
        <v>142</v>
      </c>
      <c r="AV26" s="46">
        <v>1</v>
      </c>
      <c r="AW26">
        <v>1</v>
      </c>
    </row>
    <row r="27" spans="1:49" x14ac:dyDescent="0.2">
      <c r="A27" s="31" t="s">
        <v>102</v>
      </c>
      <c r="B27" s="32" t="s">
        <v>47</v>
      </c>
      <c r="C27" s="32" t="s">
        <v>45</v>
      </c>
      <c r="D27" s="32" t="s">
        <v>46</v>
      </c>
      <c r="E27" s="32" t="s">
        <v>46</v>
      </c>
      <c r="F27" s="32" t="s">
        <v>45</v>
      </c>
      <c r="G27" s="32" t="s">
        <v>47</v>
      </c>
      <c r="H27" s="32" t="s">
        <v>45</v>
      </c>
      <c r="I27" s="32" t="s">
        <v>48</v>
      </c>
      <c r="J27" s="32" t="s">
        <v>46</v>
      </c>
      <c r="K27" s="32" t="s">
        <v>48</v>
      </c>
      <c r="L27" s="32" t="s">
        <v>46</v>
      </c>
      <c r="M27" s="32" t="s">
        <v>46</v>
      </c>
      <c r="N27" s="32" t="s">
        <v>48</v>
      </c>
      <c r="O27" s="32" t="s">
        <v>48</v>
      </c>
      <c r="P27" s="32" t="s">
        <v>46</v>
      </c>
      <c r="Q27" s="32" t="s">
        <v>45</v>
      </c>
      <c r="R27" s="32" t="s">
        <v>47</v>
      </c>
      <c r="S27" s="32" t="s">
        <v>46</v>
      </c>
      <c r="T27" s="32" t="s">
        <v>47</v>
      </c>
      <c r="U27" s="32" t="s">
        <v>45</v>
      </c>
      <c r="V27" s="31">
        <v>0</v>
      </c>
      <c r="W27" s="31">
        <v>1</v>
      </c>
      <c r="X27" s="31">
        <v>1</v>
      </c>
      <c r="Y27" s="31">
        <v>0</v>
      </c>
      <c r="Z27" s="31">
        <v>0</v>
      </c>
      <c r="AA27" s="31">
        <v>0</v>
      </c>
      <c r="AB27" s="31">
        <v>1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3">
        <v>1.75</v>
      </c>
      <c r="AQ27" s="27">
        <v>2</v>
      </c>
      <c r="AR27" s="7">
        <v>6</v>
      </c>
      <c r="AS27" s="30">
        <v>6</v>
      </c>
      <c r="AT27" s="42" t="s">
        <v>40</v>
      </c>
      <c r="AU27" s="23" t="s">
        <v>142</v>
      </c>
      <c r="AV27" s="46">
        <v>1</v>
      </c>
      <c r="AW27">
        <v>1</v>
      </c>
    </row>
    <row r="28" spans="1:49" x14ac:dyDescent="0.2">
      <c r="A28" s="31" t="s">
        <v>103</v>
      </c>
      <c r="B28" s="32" t="s">
        <v>47</v>
      </c>
      <c r="C28" s="32" t="s">
        <v>47</v>
      </c>
      <c r="D28" s="32" t="s">
        <v>48</v>
      </c>
      <c r="E28" s="32" t="s">
        <v>47</v>
      </c>
      <c r="F28" s="32" t="s">
        <v>48</v>
      </c>
      <c r="G28" s="32" t="s">
        <v>48</v>
      </c>
      <c r="H28" s="32" t="s">
        <v>46</v>
      </c>
      <c r="I28" s="32" t="s">
        <v>48</v>
      </c>
      <c r="J28" s="32" t="s">
        <v>47</v>
      </c>
      <c r="K28" s="32" t="s">
        <v>48</v>
      </c>
      <c r="L28" s="32" t="s">
        <v>46</v>
      </c>
      <c r="M28" s="32" t="s">
        <v>48</v>
      </c>
      <c r="N28" s="32" t="s">
        <v>48</v>
      </c>
      <c r="O28" s="32" t="s">
        <v>48</v>
      </c>
      <c r="P28" s="32" t="s">
        <v>47</v>
      </c>
      <c r="Q28" s="32" t="s">
        <v>45</v>
      </c>
      <c r="R28" s="32" t="s">
        <v>47</v>
      </c>
      <c r="S28" s="32" t="s">
        <v>46</v>
      </c>
      <c r="T28" s="32" t="s">
        <v>46</v>
      </c>
      <c r="U28" s="32" t="s">
        <v>47</v>
      </c>
      <c r="V28" s="31">
        <v>0</v>
      </c>
      <c r="W28" s="31">
        <v>0</v>
      </c>
      <c r="X28" s="31">
        <v>0</v>
      </c>
      <c r="Y28" s="31">
        <v>1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31">
        <v>1</v>
      </c>
      <c r="AH28" s="31">
        <v>0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0</v>
      </c>
      <c r="AO28" s="31">
        <v>0</v>
      </c>
      <c r="AP28" s="33">
        <v>1.5</v>
      </c>
      <c r="AQ28" s="27">
        <v>1</v>
      </c>
      <c r="AR28" s="44">
        <v>7</v>
      </c>
      <c r="AS28" s="30">
        <v>14</v>
      </c>
      <c r="AT28" s="42" t="s">
        <v>40</v>
      </c>
      <c r="AU28" s="23" t="s">
        <v>142</v>
      </c>
      <c r="AV28" s="46">
        <v>1</v>
      </c>
      <c r="AW28">
        <v>1</v>
      </c>
    </row>
    <row r="29" spans="1:49" x14ac:dyDescent="0.2">
      <c r="A29" s="31" t="s">
        <v>104</v>
      </c>
      <c r="B29" s="32" t="s">
        <v>45</v>
      </c>
      <c r="C29" s="32" t="s">
        <v>46</v>
      </c>
      <c r="D29" s="32" t="s">
        <v>47</v>
      </c>
      <c r="E29" s="32" t="s">
        <v>48</v>
      </c>
      <c r="F29" s="32" t="s">
        <v>45</v>
      </c>
      <c r="G29" s="32" t="s">
        <v>47</v>
      </c>
      <c r="H29" s="32" t="s">
        <v>46</v>
      </c>
      <c r="I29" s="32" t="s">
        <v>48</v>
      </c>
      <c r="J29" s="32" t="s">
        <v>45</v>
      </c>
      <c r="K29" s="32" t="s">
        <v>46</v>
      </c>
      <c r="L29" s="32" t="s">
        <v>45</v>
      </c>
      <c r="M29" s="32" t="s">
        <v>48</v>
      </c>
      <c r="N29" s="32" t="s">
        <v>47</v>
      </c>
      <c r="O29" s="32" t="s">
        <v>48</v>
      </c>
      <c r="P29" s="32" t="s">
        <v>48</v>
      </c>
      <c r="Q29" s="32" t="s">
        <v>46</v>
      </c>
      <c r="R29" s="32" t="s">
        <v>48</v>
      </c>
      <c r="S29" s="32" t="s">
        <v>45</v>
      </c>
      <c r="T29" s="32" t="s">
        <v>46</v>
      </c>
      <c r="U29" s="32" t="s">
        <v>47</v>
      </c>
      <c r="V29" s="31">
        <v>1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1</v>
      </c>
      <c r="AE29" s="31">
        <v>0</v>
      </c>
      <c r="AF29" s="31">
        <v>1</v>
      </c>
      <c r="AG29" s="31">
        <v>1</v>
      </c>
      <c r="AH29" s="31">
        <v>0</v>
      </c>
      <c r="AI29" s="31">
        <v>0</v>
      </c>
      <c r="AJ29" s="31">
        <v>1</v>
      </c>
      <c r="AK29" s="31">
        <v>1</v>
      </c>
      <c r="AL29" s="31">
        <v>0</v>
      </c>
      <c r="AM29" s="31">
        <v>0</v>
      </c>
      <c r="AN29" s="31">
        <v>0</v>
      </c>
      <c r="AO29" s="31">
        <v>0</v>
      </c>
      <c r="AP29" s="33">
        <v>2.5</v>
      </c>
      <c r="AQ29" s="27">
        <v>3</v>
      </c>
      <c r="AR29" s="7">
        <v>8</v>
      </c>
      <c r="AS29" s="30">
        <v>9</v>
      </c>
      <c r="AT29" s="42" t="s">
        <v>40</v>
      </c>
      <c r="AU29" s="23" t="s">
        <v>142</v>
      </c>
      <c r="AV29" s="46">
        <v>2</v>
      </c>
      <c r="AW29">
        <v>1</v>
      </c>
    </row>
    <row r="30" spans="1:49" x14ac:dyDescent="0.2">
      <c r="A30" s="31" t="s">
        <v>105</v>
      </c>
      <c r="B30" s="32" t="s">
        <v>45</v>
      </c>
      <c r="C30" s="32" t="s">
        <v>46</v>
      </c>
      <c r="D30" s="32" t="s">
        <v>47</v>
      </c>
      <c r="E30" s="32" t="s">
        <v>47</v>
      </c>
      <c r="F30" s="32" t="s">
        <v>45</v>
      </c>
      <c r="G30" s="32" t="s">
        <v>48</v>
      </c>
      <c r="H30" s="32" t="s">
        <v>46</v>
      </c>
      <c r="I30" s="32" t="s">
        <v>48</v>
      </c>
      <c r="J30" s="32" t="s">
        <v>47</v>
      </c>
      <c r="K30" s="32" t="s">
        <v>45</v>
      </c>
      <c r="L30" s="32" t="s">
        <v>48</v>
      </c>
      <c r="M30" s="32" t="s">
        <v>45</v>
      </c>
      <c r="N30" s="32" t="s">
        <v>45</v>
      </c>
      <c r="O30" s="32" t="s">
        <v>48</v>
      </c>
      <c r="P30" s="32" t="s">
        <v>45</v>
      </c>
      <c r="Q30" s="32" t="s">
        <v>46</v>
      </c>
      <c r="R30" s="32" t="s">
        <v>45</v>
      </c>
      <c r="S30" s="32" t="s">
        <v>46</v>
      </c>
      <c r="T30" s="32" t="s">
        <v>47</v>
      </c>
      <c r="U30" s="32" t="s">
        <v>45</v>
      </c>
      <c r="V30" s="31">
        <v>1</v>
      </c>
      <c r="W30" s="31">
        <v>0</v>
      </c>
      <c r="X30" s="31">
        <v>0</v>
      </c>
      <c r="Y30" s="31">
        <v>1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1</v>
      </c>
      <c r="AF30" s="31">
        <v>0</v>
      </c>
      <c r="AG30" s="31">
        <v>0</v>
      </c>
      <c r="AH30" s="31">
        <v>1</v>
      </c>
      <c r="AI30" s="31">
        <v>0</v>
      </c>
      <c r="AJ30" s="31">
        <v>0</v>
      </c>
      <c r="AK30" s="31">
        <v>1</v>
      </c>
      <c r="AL30" s="31">
        <v>1</v>
      </c>
      <c r="AM30" s="31">
        <v>0</v>
      </c>
      <c r="AN30" s="31">
        <v>0</v>
      </c>
      <c r="AO30" s="31">
        <v>0</v>
      </c>
      <c r="AP30" s="33">
        <v>2.5</v>
      </c>
      <c r="AQ30" s="27">
        <v>1</v>
      </c>
      <c r="AR30" s="44">
        <v>9</v>
      </c>
      <c r="AS30" s="30">
        <v>6</v>
      </c>
      <c r="AT30" s="42" t="s">
        <v>40</v>
      </c>
      <c r="AU30" s="23" t="s">
        <v>142</v>
      </c>
      <c r="AV30" s="46">
        <v>1</v>
      </c>
      <c r="AW30">
        <v>1</v>
      </c>
    </row>
    <row r="31" spans="1:49" x14ac:dyDescent="0.2">
      <c r="A31" s="31" t="s">
        <v>106</v>
      </c>
      <c r="B31" s="32" t="s">
        <v>45</v>
      </c>
      <c r="C31" s="32" t="s">
        <v>48</v>
      </c>
      <c r="D31" s="32" t="s">
        <v>47</v>
      </c>
      <c r="E31" s="32" t="s">
        <v>47</v>
      </c>
      <c r="F31" s="32" t="s">
        <v>45</v>
      </c>
      <c r="G31" s="32" t="s">
        <v>45</v>
      </c>
      <c r="H31" s="32" t="s">
        <v>45</v>
      </c>
      <c r="I31" s="32" t="s">
        <v>48</v>
      </c>
      <c r="J31" s="32" t="s">
        <v>45</v>
      </c>
      <c r="K31" s="32" t="s">
        <v>47</v>
      </c>
      <c r="L31" s="32" t="s">
        <v>48</v>
      </c>
      <c r="M31" s="32" t="s">
        <v>46</v>
      </c>
      <c r="N31" s="32" t="s">
        <v>45</v>
      </c>
      <c r="O31" s="32" t="s">
        <v>48</v>
      </c>
      <c r="P31" s="32" t="s">
        <v>46</v>
      </c>
      <c r="Q31" s="32" t="s">
        <v>45</v>
      </c>
      <c r="R31" s="32" t="s">
        <v>47</v>
      </c>
      <c r="S31" s="32" t="s">
        <v>47</v>
      </c>
      <c r="T31" s="32" t="s">
        <v>45</v>
      </c>
      <c r="U31" s="32" t="s">
        <v>48</v>
      </c>
      <c r="V31" s="31">
        <v>1</v>
      </c>
      <c r="W31" s="31">
        <v>0</v>
      </c>
      <c r="X31" s="31">
        <v>0</v>
      </c>
      <c r="Y31" s="31">
        <v>1</v>
      </c>
      <c r="Z31" s="31">
        <v>0</v>
      </c>
      <c r="AA31" s="31">
        <v>1</v>
      </c>
      <c r="AB31" s="31">
        <v>1</v>
      </c>
      <c r="AC31" s="31">
        <v>0</v>
      </c>
      <c r="AD31" s="31">
        <v>1</v>
      </c>
      <c r="AE31" s="31">
        <v>0</v>
      </c>
      <c r="AF31" s="31">
        <v>0</v>
      </c>
      <c r="AG31" s="31">
        <v>0</v>
      </c>
      <c r="AH31" s="31">
        <v>1</v>
      </c>
      <c r="AI31" s="31">
        <v>0</v>
      </c>
      <c r="AJ31" s="31">
        <v>0</v>
      </c>
      <c r="AK31" s="31">
        <v>0</v>
      </c>
      <c r="AL31" s="31">
        <v>0</v>
      </c>
      <c r="AM31" s="31">
        <v>1</v>
      </c>
      <c r="AN31" s="31">
        <v>0</v>
      </c>
      <c r="AO31" s="31">
        <v>0</v>
      </c>
      <c r="AP31" s="33">
        <v>2.75</v>
      </c>
      <c r="AQ31" s="27">
        <v>3</v>
      </c>
      <c r="AR31" s="7">
        <v>10</v>
      </c>
      <c r="AS31" s="30">
        <v>5</v>
      </c>
      <c r="AT31" s="42" t="s">
        <v>40</v>
      </c>
      <c r="AU31" s="23" t="s">
        <v>142</v>
      </c>
      <c r="AV31" s="46">
        <v>1</v>
      </c>
      <c r="AW31">
        <v>1</v>
      </c>
    </row>
    <row r="32" spans="1:49" x14ac:dyDescent="0.2">
      <c r="A32" s="31" t="s">
        <v>107</v>
      </c>
      <c r="B32" s="32" t="s">
        <v>47</v>
      </c>
      <c r="C32" s="32" t="s">
        <v>45</v>
      </c>
      <c r="D32" s="32" t="s">
        <v>47</v>
      </c>
      <c r="E32" s="32" t="s">
        <v>47</v>
      </c>
      <c r="F32" s="32" t="s">
        <v>47</v>
      </c>
      <c r="G32" s="32" t="s">
        <v>45</v>
      </c>
      <c r="H32" s="32" t="s">
        <v>48</v>
      </c>
      <c r="I32" s="32" t="s">
        <v>48</v>
      </c>
      <c r="J32" s="32" t="s">
        <v>45</v>
      </c>
      <c r="K32" s="32" t="s">
        <v>47</v>
      </c>
      <c r="L32" s="32" t="s">
        <v>48</v>
      </c>
      <c r="M32" s="32" t="s">
        <v>46</v>
      </c>
      <c r="N32" s="32" t="s">
        <v>48</v>
      </c>
      <c r="O32" s="32" t="s">
        <v>47</v>
      </c>
      <c r="P32" s="32" t="s">
        <v>47</v>
      </c>
      <c r="Q32" s="32" t="s">
        <v>45</v>
      </c>
      <c r="R32" s="32" t="s">
        <v>47</v>
      </c>
      <c r="S32" s="32" t="s">
        <v>47</v>
      </c>
      <c r="T32" s="32" t="s">
        <v>45</v>
      </c>
      <c r="U32" s="32" t="s">
        <v>47</v>
      </c>
      <c r="V32" s="31">
        <v>0</v>
      </c>
      <c r="W32" s="31">
        <v>1</v>
      </c>
      <c r="X32" s="31">
        <v>0</v>
      </c>
      <c r="Y32" s="31">
        <v>1</v>
      </c>
      <c r="Z32" s="31">
        <v>1</v>
      </c>
      <c r="AA32" s="31">
        <v>1</v>
      </c>
      <c r="AB32" s="31">
        <v>0</v>
      </c>
      <c r="AC32" s="31">
        <v>0</v>
      </c>
      <c r="AD32" s="31">
        <v>1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1</v>
      </c>
      <c r="AN32" s="31">
        <v>0</v>
      </c>
      <c r="AO32" s="31">
        <v>0</v>
      </c>
      <c r="AP32" s="33">
        <v>2.5</v>
      </c>
      <c r="AQ32" s="27">
        <v>3</v>
      </c>
      <c r="AR32" s="7">
        <v>11</v>
      </c>
      <c r="AS32" s="30">
        <v>4</v>
      </c>
      <c r="AT32" s="42" t="s">
        <v>40</v>
      </c>
      <c r="AU32" s="23" t="s">
        <v>142</v>
      </c>
      <c r="AV32" s="46">
        <v>4</v>
      </c>
      <c r="AW32">
        <v>1</v>
      </c>
    </row>
    <row r="33" spans="1:49" x14ac:dyDescent="0.2">
      <c r="A33" s="31" t="s">
        <v>108</v>
      </c>
      <c r="B33" s="32" t="s">
        <v>45</v>
      </c>
      <c r="C33" s="32" t="s">
        <v>47</v>
      </c>
      <c r="D33" s="32" t="s">
        <v>46</v>
      </c>
      <c r="E33" s="32" t="s">
        <v>45</v>
      </c>
      <c r="F33" s="32" t="s">
        <v>47</v>
      </c>
      <c r="G33" s="32" t="s">
        <v>47</v>
      </c>
      <c r="H33" s="32" t="s">
        <v>48</v>
      </c>
      <c r="I33" s="32" t="s">
        <v>48</v>
      </c>
      <c r="J33" s="32" t="s">
        <v>47</v>
      </c>
      <c r="K33" s="32" t="s">
        <v>46</v>
      </c>
      <c r="L33" s="32" t="s">
        <v>47</v>
      </c>
      <c r="M33" s="32" t="s">
        <v>48</v>
      </c>
      <c r="N33" s="32" t="s">
        <v>47</v>
      </c>
      <c r="O33" s="32" t="s">
        <v>48</v>
      </c>
      <c r="P33" s="32" t="s">
        <v>47</v>
      </c>
      <c r="Q33" s="32" t="s">
        <v>46</v>
      </c>
      <c r="R33" s="32" t="s">
        <v>45</v>
      </c>
      <c r="S33" s="32" t="s">
        <v>45</v>
      </c>
      <c r="T33" s="32" t="s">
        <v>45</v>
      </c>
      <c r="U33" s="32" t="s">
        <v>46</v>
      </c>
      <c r="V33" s="31">
        <v>1</v>
      </c>
      <c r="W33" s="31">
        <v>0</v>
      </c>
      <c r="X33" s="31">
        <v>1</v>
      </c>
      <c r="Y33" s="31">
        <v>0</v>
      </c>
      <c r="Z33" s="31">
        <v>1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1</v>
      </c>
      <c r="AH33" s="31">
        <v>0</v>
      </c>
      <c r="AI33" s="31">
        <v>0</v>
      </c>
      <c r="AJ33" s="31">
        <v>0</v>
      </c>
      <c r="AK33" s="31">
        <v>1</v>
      </c>
      <c r="AL33" s="31">
        <v>1</v>
      </c>
      <c r="AM33" s="31">
        <v>0</v>
      </c>
      <c r="AN33" s="31">
        <v>0</v>
      </c>
      <c r="AO33" s="31">
        <v>1</v>
      </c>
      <c r="AP33" s="33">
        <v>2.75</v>
      </c>
      <c r="AQ33" s="27">
        <v>1</v>
      </c>
      <c r="AR33" s="44">
        <v>12</v>
      </c>
      <c r="AS33" s="30">
        <v>28</v>
      </c>
      <c r="AT33" s="42" t="s">
        <v>40</v>
      </c>
      <c r="AU33" s="23" t="s">
        <v>142</v>
      </c>
      <c r="AV33" s="46">
        <v>4</v>
      </c>
      <c r="AW33">
        <v>1</v>
      </c>
    </row>
    <row r="34" spans="1:49" x14ac:dyDescent="0.2">
      <c r="A34" s="34" t="s">
        <v>50</v>
      </c>
      <c r="B34" s="35" t="s">
        <v>46</v>
      </c>
      <c r="C34" s="35" t="s">
        <v>47</v>
      </c>
      <c r="D34" s="35" t="s">
        <v>47</v>
      </c>
      <c r="E34" s="35" t="s">
        <v>49</v>
      </c>
      <c r="F34" s="35" t="s">
        <v>48</v>
      </c>
      <c r="G34" s="35" t="s">
        <v>47</v>
      </c>
      <c r="H34" s="35" t="s">
        <v>47</v>
      </c>
      <c r="I34" s="35" t="s">
        <v>45</v>
      </c>
      <c r="J34" s="35" t="s">
        <v>48</v>
      </c>
      <c r="K34" s="35" t="s">
        <v>46</v>
      </c>
      <c r="L34" s="35" t="s">
        <v>48</v>
      </c>
      <c r="M34" s="35" t="s">
        <v>49</v>
      </c>
      <c r="N34" s="35" t="s">
        <v>49</v>
      </c>
      <c r="O34" s="35" t="s">
        <v>48</v>
      </c>
      <c r="P34" s="35" t="s">
        <v>47</v>
      </c>
      <c r="Q34" s="35" t="s">
        <v>45</v>
      </c>
      <c r="R34" s="35" t="s">
        <v>47</v>
      </c>
      <c r="S34" s="35" t="s">
        <v>48</v>
      </c>
      <c r="T34" s="35" t="s">
        <v>49</v>
      </c>
      <c r="U34" s="35" t="s">
        <v>48</v>
      </c>
      <c r="V34" s="34">
        <v>0</v>
      </c>
      <c r="W34" s="34">
        <v>0</v>
      </c>
      <c r="X34" s="34">
        <v>0</v>
      </c>
      <c r="Y34" s="34">
        <v>1</v>
      </c>
      <c r="Z34" s="34">
        <v>0</v>
      </c>
      <c r="AA34" s="34">
        <v>0</v>
      </c>
      <c r="AB34" s="34">
        <v>1</v>
      </c>
      <c r="AC34" s="34">
        <v>0</v>
      </c>
      <c r="AD34" s="34">
        <v>0</v>
      </c>
      <c r="AE34" s="34">
        <v>0</v>
      </c>
      <c r="AF34" s="34">
        <v>0</v>
      </c>
      <c r="AG34" s="34">
        <v>1</v>
      </c>
      <c r="AH34" s="34">
        <v>1</v>
      </c>
      <c r="AI34" s="34">
        <v>1</v>
      </c>
      <c r="AJ34" s="34">
        <v>0</v>
      </c>
      <c r="AK34" s="34">
        <v>0</v>
      </c>
      <c r="AL34" s="34">
        <v>0</v>
      </c>
      <c r="AM34" s="34">
        <v>1</v>
      </c>
      <c r="AN34" s="34">
        <v>1</v>
      </c>
      <c r="AO34" s="34">
        <v>0</v>
      </c>
      <c r="AP34" s="36">
        <v>2.75</v>
      </c>
      <c r="AQ34" s="27">
        <v>1</v>
      </c>
      <c r="AR34" s="44">
        <v>13</v>
      </c>
      <c r="AS34" s="30">
        <v>28</v>
      </c>
      <c r="AT34" s="23" t="s">
        <v>142</v>
      </c>
      <c r="AU34" s="23" t="s">
        <v>142</v>
      </c>
      <c r="AV34" s="46">
        <v>3</v>
      </c>
      <c r="AW34">
        <v>1</v>
      </c>
    </row>
    <row r="35" spans="1:49" x14ac:dyDescent="0.2">
      <c r="A35" s="34" t="s">
        <v>51</v>
      </c>
      <c r="B35" s="35" t="s">
        <v>46</v>
      </c>
      <c r="C35" s="35" t="s">
        <v>48</v>
      </c>
      <c r="D35" s="35" t="s">
        <v>46</v>
      </c>
      <c r="E35" s="35" t="s">
        <v>49</v>
      </c>
      <c r="F35" s="35" t="s">
        <v>48</v>
      </c>
      <c r="G35" s="35" t="s">
        <v>48</v>
      </c>
      <c r="H35" s="35" t="s">
        <v>46</v>
      </c>
      <c r="I35" s="35" t="s">
        <v>45</v>
      </c>
      <c r="J35" s="35" t="s">
        <v>46</v>
      </c>
      <c r="K35" s="35" t="s">
        <v>48</v>
      </c>
      <c r="L35" s="35" t="s">
        <v>48</v>
      </c>
      <c r="M35" s="35" t="s">
        <v>49</v>
      </c>
      <c r="N35" s="35" t="s">
        <v>49</v>
      </c>
      <c r="O35" s="35" t="s">
        <v>46</v>
      </c>
      <c r="P35" s="35" t="s">
        <v>45</v>
      </c>
      <c r="Q35" s="35" t="s">
        <v>45</v>
      </c>
      <c r="R35" s="35" t="s">
        <v>46</v>
      </c>
      <c r="S35" s="35" t="s">
        <v>45</v>
      </c>
      <c r="T35" s="35" t="s">
        <v>49</v>
      </c>
      <c r="U35" s="35" t="s">
        <v>48</v>
      </c>
      <c r="V35" s="34">
        <v>0</v>
      </c>
      <c r="W35" s="34">
        <v>0</v>
      </c>
      <c r="X35" s="34">
        <v>1</v>
      </c>
      <c r="Y35" s="34">
        <v>1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1</v>
      </c>
      <c r="AH35" s="34">
        <v>1</v>
      </c>
      <c r="AI35" s="34">
        <v>0</v>
      </c>
      <c r="AJ35" s="34">
        <v>1</v>
      </c>
      <c r="AK35" s="34">
        <v>0</v>
      </c>
      <c r="AL35" s="34">
        <v>0</v>
      </c>
      <c r="AM35" s="34">
        <v>0</v>
      </c>
      <c r="AN35" s="34">
        <v>1</v>
      </c>
      <c r="AO35" s="34">
        <v>0</v>
      </c>
      <c r="AP35" s="36">
        <v>2.5</v>
      </c>
      <c r="AQ35" s="27">
        <v>2</v>
      </c>
      <c r="AR35" s="7">
        <v>14</v>
      </c>
      <c r="AS35" s="30">
        <v>6</v>
      </c>
      <c r="AT35" s="23" t="s">
        <v>142</v>
      </c>
      <c r="AU35" s="23" t="s">
        <v>142</v>
      </c>
      <c r="AV35" s="46">
        <v>2</v>
      </c>
      <c r="AW35">
        <v>1</v>
      </c>
    </row>
    <row r="36" spans="1:49" x14ac:dyDescent="0.2">
      <c r="A36" s="34" t="s">
        <v>52</v>
      </c>
      <c r="B36" s="35" t="s">
        <v>45</v>
      </c>
      <c r="C36" s="35" t="s">
        <v>45</v>
      </c>
      <c r="D36" s="35" t="s">
        <v>46</v>
      </c>
      <c r="E36" s="35" t="s">
        <v>49</v>
      </c>
      <c r="F36" s="35" t="s">
        <v>46</v>
      </c>
      <c r="G36" s="35" t="s">
        <v>46</v>
      </c>
      <c r="H36" s="35" t="s">
        <v>45</v>
      </c>
      <c r="I36" s="35" t="s">
        <v>48</v>
      </c>
      <c r="J36" s="35" t="s">
        <v>48</v>
      </c>
      <c r="K36" s="35" t="s">
        <v>48</v>
      </c>
      <c r="L36" s="35" t="s">
        <v>47</v>
      </c>
      <c r="M36" s="35" t="s">
        <v>49</v>
      </c>
      <c r="N36" s="35" t="s">
        <v>49</v>
      </c>
      <c r="O36" s="35" t="s">
        <v>46</v>
      </c>
      <c r="P36" s="35" t="s">
        <v>46</v>
      </c>
      <c r="Q36" s="35" t="s">
        <v>45</v>
      </c>
      <c r="R36" s="35" t="s">
        <v>47</v>
      </c>
      <c r="S36" s="35" t="s">
        <v>48</v>
      </c>
      <c r="T36" s="35" t="s">
        <v>49</v>
      </c>
      <c r="U36" s="35" t="s">
        <v>45</v>
      </c>
      <c r="V36" s="34">
        <v>1</v>
      </c>
      <c r="W36" s="34">
        <v>1</v>
      </c>
      <c r="X36" s="34">
        <v>1</v>
      </c>
      <c r="Y36" s="34">
        <v>1</v>
      </c>
      <c r="Z36" s="34">
        <v>0</v>
      </c>
      <c r="AA36" s="34">
        <v>1</v>
      </c>
      <c r="AB36" s="34">
        <v>0</v>
      </c>
      <c r="AC36" s="34">
        <v>1</v>
      </c>
      <c r="AD36" s="34">
        <v>0</v>
      </c>
      <c r="AE36" s="34">
        <v>0</v>
      </c>
      <c r="AF36" s="34">
        <v>0</v>
      </c>
      <c r="AG36" s="34">
        <v>1</v>
      </c>
      <c r="AH36" s="34">
        <v>1</v>
      </c>
      <c r="AI36" s="34">
        <v>0</v>
      </c>
      <c r="AJ36" s="34">
        <v>0</v>
      </c>
      <c r="AK36" s="34">
        <v>0</v>
      </c>
      <c r="AL36" s="34">
        <v>0</v>
      </c>
      <c r="AM36" s="34">
        <v>1</v>
      </c>
      <c r="AN36" s="34">
        <v>1</v>
      </c>
      <c r="AO36" s="34">
        <v>1</v>
      </c>
      <c r="AP36" s="36">
        <v>3.75</v>
      </c>
      <c r="AQ36" s="27">
        <v>2</v>
      </c>
      <c r="AR36" s="7">
        <v>15</v>
      </c>
      <c r="AS36" s="30">
        <v>11</v>
      </c>
      <c r="AT36" s="23" t="s">
        <v>142</v>
      </c>
      <c r="AU36" s="23" t="s">
        <v>142</v>
      </c>
      <c r="AV36" s="46">
        <v>5</v>
      </c>
      <c r="AW36">
        <v>1</v>
      </c>
    </row>
    <row r="37" spans="1:49" x14ac:dyDescent="0.2">
      <c r="A37" s="34" t="s">
        <v>53</v>
      </c>
      <c r="B37" s="35" t="s">
        <v>45</v>
      </c>
      <c r="C37" s="35" t="s">
        <v>46</v>
      </c>
      <c r="D37" s="35" t="s">
        <v>47</v>
      </c>
      <c r="E37" s="35" t="s">
        <v>49</v>
      </c>
      <c r="F37" s="35" t="s">
        <v>48</v>
      </c>
      <c r="G37" s="35" t="s">
        <v>48</v>
      </c>
      <c r="H37" s="35" t="s">
        <v>47</v>
      </c>
      <c r="I37" s="35" t="s">
        <v>47</v>
      </c>
      <c r="J37" s="35" t="s">
        <v>46</v>
      </c>
      <c r="K37" s="35" t="s">
        <v>46</v>
      </c>
      <c r="L37" s="35" t="s">
        <v>48</v>
      </c>
      <c r="M37" s="35" t="s">
        <v>49</v>
      </c>
      <c r="N37" s="35" t="s">
        <v>49</v>
      </c>
      <c r="O37" s="35" t="s">
        <v>45</v>
      </c>
      <c r="P37" s="35" t="s">
        <v>45</v>
      </c>
      <c r="Q37" s="35" t="s">
        <v>47</v>
      </c>
      <c r="R37" s="35" t="s">
        <v>46</v>
      </c>
      <c r="S37" s="35" t="s">
        <v>45</v>
      </c>
      <c r="T37" s="35" t="s">
        <v>49</v>
      </c>
      <c r="U37" s="35" t="s">
        <v>48</v>
      </c>
      <c r="V37" s="34">
        <v>1</v>
      </c>
      <c r="W37" s="34">
        <v>0</v>
      </c>
      <c r="X37" s="34">
        <v>0</v>
      </c>
      <c r="Y37" s="34">
        <v>1</v>
      </c>
      <c r="Z37" s="34">
        <v>0</v>
      </c>
      <c r="AA37" s="34">
        <v>0</v>
      </c>
      <c r="AB37" s="34">
        <v>1</v>
      </c>
      <c r="AC37" s="34">
        <v>0</v>
      </c>
      <c r="AD37" s="34">
        <v>0</v>
      </c>
      <c r="AE37" s="34">
        <v>0</v>
      </c>
      <c r="AF37" s="34">
        <v>0</v>
      </c>
      <c r="AG37" s="34">
        <v>1</v>
      </c>
      <c r="AH37" s="34">
        <v>1</v>
      </c>
      <c r="AI37" s="34">
        <v>0</v>
      </c>
      <c r="AJ37" s="34">
        <v>1</v>
      </c>
      <c r="AK37" s="34">
        <v>0</v>
      </c>
      <c r="AL37" s="34">
        <v>0</v>
      </c>
      <c r="AM37" s="34">
        <v>0</v>
      </c>
      <c r="AN37" s="34">
        <v>1</v>
      </c>
      <c r="AO37" s="34">
        <v>0</v>
      </c>
      <c r="AP37" s="36">
        <v>2.75</v>
      </c>
      <c r="AQ37" s="27">
        <v>3</v>
      </c>
      <c r="AR37" s="7">
        <v>16</v>
      </c>
      <c r="AS37" s="30">
        <v>10</v>
      </c>
      <c r="AT37" s="23" t="s">
        <v>142</v>
      </c>
      <c r="AU37" s="23" t="s">
        <v>142</v>
      </c>
      <c r="AV37" s="46">
        <v>5</v>
      </c>
      <c r="AW37">
        <v>1</v>
      </c>
    </row>
    <row r="38" spans="1:49" x14ac:dyDescent="0.2">
      <c r="A38" s="34" t="s">
        <v>54</v>
      </c>
      <c r="B38" s="35" t="s">
        <v>45</v>
      </c>
      <c r="C38" s="35" t="s">
        <v>47</v>
      </c>
      <c r="D38" s="35" t="s">
        <v>46</v>
      </c>
      <c r="E38" s="35" t="s">
        <v>49</v>
      </c>
      <c r="F38" s="35" t="s">
        <v>46</v>
      </c>
      <c r="G38" s="35" t="s">
        <v>46</v>
      </c>
      <c r="H38" s="35" t="s">
        <v>47</v>
      </c>
      <c r="I38" s="35" t="s">
        <v>45</v>
      </c>
      <c r="J38" s="35" t="s">
        <v>48</v>
      </c>
      <c r="K38" s="35" t="s">
        <v>48</v>
      </c>
      <c r="L38" s="35" t="s">
        <v>48</v>
      </c>
      <c r="M38" s="35" t="s">
        <v>49</v>
      </c>
      <c r="N38" s="35" t="s">
        <v>49</v>
      </c>
      <c r="O38" s="35" t="s">
        <v>45</v>
      </c>
      <c r="P38" s="35" t="s">
        <v>46</v>
      </c>
      <c r="Q38" s="35" t="s">
        <v>48</v>
      </c>
      <c r="R38" s="35" t="s">
        <v>46</v>
      </c>
      <c r="S38" s="35" t="s">
        <v>48</v>
      </c>
      <c r="T38" s="35" t="s">
        <v>49</v>
      </c>
      <c r="U38" s="35" t="s">
        <v>48</v>
      </c>
      <c r="V38" s="34">
        <v>1</v>
      </c>
      <c r="W38" s="34">
        <v>0</v>
      </c>
      <c r="X38" s="34">
        <v>1</v>
      </c>
      <c r="Y38" s="34">
        <v>1</v>
      </c>
      <c r="Z38" s="34">
        <v>0</v>
      </c>
      <c r="AA38" s="34">
        <v>1</v>
      </c>
      <c r="AB38" s="34">
        <v>1</v>
      </c>
      <c r="AC38" s="34">
        <v>0</v>
      </c>
      <c r="AD38" s="34">
        <v>0</v>
      </c>
      <c r="AE38" s="34">
        <v>0</v>
      </c>
      <c r="AF38" s="34">
        <v>0</v>
      </c>
      <c r="AG38" s="34">
        <v>1</v>
      </c>
      <c r="AH38" s="34">
        <v>1</v>
      </c>
      <c r="AI38" s="34">
        <v>0</v>
      </c>
      <c r="AJ38" s="34">
        <v>0</v>
      </c>
      <c r="AK38" s="34">
        <v>0</v>
      </c>
      <c r="AL38" s="34">
        <v>0</v>
      </c>
      <c r="AM38" s="34">
        <v>1</v>
      </c>
      <c r="AN38" s="34">
        <v>1</v>
      </c>
      <c r="AO38" s="34">
        <v>0</v>
      </c>
      <c r="AP38" s="36">
        <v>3.25</v>
      </c>
      <c r="AQ38" s="27">
        <v>2</v>
      </c>
      <c r="AR38" s="7">
        <v>17</v>
      </c>
      <c r="AS38" s="30">
        <v>4</v>
      </c>
      <c r="AT38" s="23" t="s">
        <v>142</v>
      </c>
      <c r="AU38" s="23" t="s">
        <v>142</v>
      </c>
      <c r="AV38" s="46">
        <v>5</v>
      </c>
      <c r="AW38">
        <v>1</v>
      </c>
    </row>
    <row r="39" spans="1:49" x14ac:dyDescent="0.2">
      <c r="A39" s="34" t="s">
        <v>55</v>
      </c>
      <c r="B39" s="35" t="s">
        <v>6</v>
      </c>
      <c r="C39" s="35" t="s">
        <v>48</v>
      </c>
      <c r="D39" s="35" t="s">
        <v>46</v>
      </c>
      <c r="E39" s="35" t="s">
        <v>49</v>
      </c>
      <c r="F39" s="35" t="s">
        <v>45</v>
      </c>
      <c r="G39" s="35" t="s">
        <v>48</v>
      </c>
      <c r="H39" s="35" t="s">
        <v>46</v>
      </c>
      <c r="I39" s="35" t="s">
        <v>46</v>
      </c>
      <c r="J39" s="35" t="s">
        <v>48</v>
      </c>
      <c r="K39" s="35" t="s">
        <v>48</v>
      </c>
      <c r="L39" s="35" t="s">
        <v>46</v>
      </c>
      <c r="M39" s="35" t="s">
        <v>49</v>
      </c>
      <c r="N39" s="35" t="s">
        <v>49</v>
      </c>
      <c r="O39" s="35" t="s">
        <v>46</v>
      </c>
      <c r="P39" s="35" t="s">
        <v>45</v>
      </c>
      <c r="Q39" s="35" t="s">
        <v>46</v>
      </c>
      <c r="R39" s="35" t="s">
        <v>48</v>
      </c>
      <c r="S39" s="35" t="s">
        <v>45</v>
      </c>
      <c r="T39" s="35" t="s">
        <v>49</v>
      </c>
      <c r="U39" s="35" t="s">
        <v>46</v>
      </c>
      <c r="V39" s="34">
        <v>0</v>
      </c>
      <c r="W39" s="34">
        <v>0</v>
      </c>
      <c r="X39" s="34">
        <v>1</v>
      </c>
      <c r="Y39" s="34">
        <v>1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1</v>
      </c>
      <c r="AH39" s="34">
        <v>1</v>
      </c>
      <c r="AI39" s="34">
        <v>0</v>
      </c>
      <c r="AJ39" s="34">
        <v>1</v>
      </c>
      <c r="AK39" s="34">
        <v>1</v>
      </c>
      <c r="AL39" s="34">
        <v>0</v>
      </c>
      <c r="AM39" s="34">
        <v>0</v>
      </c>
      <c r="AN39" s="34">
        <v>1</v>
      </c>
      <c r="AO39" s="34">
        <v>0</v>
      </c>
      <c r="AP39" s="36">
        <v>2.75</v>
      </c>
      <c r="AQ39" s="27">
        <v>1</v>
      </c>
      <c r="AR39" s="44">
        <v>18</v>
      </c>
      <c r="AS39" s="30">
        <v>7</v>
      </c>
      <c r="AT39" s="23" t="s">
        <v>142</v>
      </c>
      <c r="AU39" s="23" t="s">
        <v>142</v>
      </c>
      <c r="AV39" s="46">
        <v>5</v>
      </c>
      <c r="AW39">
        <v>1</v>
      </c>
    </row>
    <row r="40" spans="1:49" x14ac:dyDescent="0.2">
      <c r="A40" s="34" t="s">
        <v>56</v>
      </c>
      <c r="B40" s="35" t="s">
        <v>46</v>
      </c>
      <c r="C40" s="35" t="s">
        <v>45</v>
      </c>
      <c r="D40" s="35" t="s">
        <v>47</v>
      </c>
      <c r="E40" s="35" t="s">
        <v>49</v>
      </c>
      <c r="F40" s="35" t="s">
        <v>46</v>
      </c>
      <c r="G40" s="35" t="s">
        <v>46</v>
      </c>
      <c r="H40" s="35" t="s">
        <v>46</v>
      </c>
      <c r="I40" s="35" t="s">
        <v>48</v>
      </c>
      <c r="J40" s="35" t="s">
        <v>47</v>
      </c>
      <c r="K40" s="35" t="s">
        <v>46</v>
      </c>
      <c r="L40" s="35" t="s">
        <v>46</v>
      </c>
      <c r="M40" s="35" t="s">
        <v>49</v>
      </c>
      <c r="N40" s="35" t="s">
        <v>49</v>
      </c>
      <c r="O40" s="35" t="s">
        <v>45</v>
      </c>
      <c r="P40" s="35" t="s">
        <v>48</v>
      </c>
      <c r="Q40" s="35" t="s">
        <v>47</v>
      </c>
      <c r="R40" s="35" t="s">
        <v>46</v>
      </c>
      <c r="S40" s="35" t="s">
        <v>45</v>
      </c>
      <c r="T40" s="35" t="s">
        <v>49</v>
      </c>
      <c r="U40" s="35" t="s">
        <v>48</v>
      </c>
      <c r="V40" s="34">
        <v>0</v>
      </c>
      <c r="W40" s="34">
        <v>1</v>
      </c>
      <c r="X40" s="34">
        <v>0</v>
      </c>
      <c r="Y40" s="34">
        <v>1</v>
      </c>
      <c r="Z40" s="34">
        <v>0</v>
      </c>
      <c r="AA40" s="34">
        <v>1</v>
      </c>
      <c r="AB40" s="34">
        <v>0</v>
      </c>
      <c r="AC40" s="34">
        <v>1</v>
      </c>
      <c r="AD40" s="34">
        <v>1</v>
      </c>
      <c r="AE40" s="34">
        <v>0</v>
      </c>
      <c r="AF40" s="34">
        <v>0</v>
      </c>
      <c r="AG40" s="34">
        <v>1</v>
      </c>
      <c r="AH40" s="34">
        <v>1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1</v>
      </c>
      <c r="AO40" s="34">
        <v>0</v>
      </c>
      <c r="AP40" s="36">
        <v>3</v>
      </c>
      <c r="AQ40" s="27">
        <v>2</v>
      </c>
      <c r="AR40" s="7">
        <v>19</v>
      </c>
      <c r="AS40" s="30">
        <v>28</v>
      </c>
      <c r="AT40" s="23" t="s">
        <v>142</v>
      </c>
      <c r="AU40" s="23" t="s">
        <v>142</v>
      </c>
      <c r="AV40" s="46">
        <v>1</v>
      </c>
      <c r="AW40">
        <v>1</v>
      </c>
    </row>
    <row r="41" spans="1:49" x14ac:dyDescent="0.2">
      <c r="A41" s="34" t="s">
        <v>57</v>
      </c>
      <c r="B41" s="35" t="s">
        <v>46</v>
      </c>
      <c r="C41" s="35" t="s">
        <v>47</v>
      </c>
      <c r="D41" s="35" t="s">
        <v>47</v>
      </c>
      <c r="E41" s="35" t="s">
        <v>49</v>
      </c>
      <c r="F41" s="35" t="s">
        <v>46</v>
      </c>
      <c r="G41" s="35" t="s">
        <v>47</v>
      </c>
      <c r="H41" s="35" t="s">
        <v>47</v>
      </c>
      <c r="I41" s="35" t="s">
        <v>48</v>
      </c>
      <c r="J41" s="35" t="s">
        <v>48</v>
      </c>
      <c r="K41" s="35" t="s">
        <v>47</v>
      </c>
      <c r="L41" s="35" t="s">
        <v>46</v>
      </c>
      <c r="M41" s="35" t="s">
        <v>49</v>
      </c>
      <c r="N41" s="35" t="s">
        <v>49</v>
      </c>
      <c r="O41" s="35" t="s">
        <v>45</v>
      </c>
      <c r="P41" s="35" t="s">
        <v>46</v>
      </c>
      <c r="Q41" s="35" t="s">
        <v>47</v>
      </c>
      <c r="R41" s="35" t="s">
        <v>45</v>
      </c>
      <c r="S41" s="35" t="s">
        <v>48</v>
      </c>
      <c r="T41" s="35" t="s">
        <v>49</v>
      </c>
      <c r="U41" s="35" t="s">
        <v>48</v>
      </c>
      <c r="V41" s="34">
        <v>0</v>
      </c>
      <c r="W41" s="34">
        <v>0</v>
      </c>
      <c r="X41" s="34">
        <v>0</v>
      </c>
      <c r="Y41" s="34">
        <v>1</v>
      </c>
      <c r="Z41" s="34">
        <v>0</v>
      </c>
      <c r="AA41" s="34">
        <v>0</v>
      </c>
      <c r="AB41" s="34">
        <v>1</v>
      </c>
      <c r="AC41" s="34">
        <v>1</v>
      </c>
      <c r="AD41" s="34">
        <v>0</v>
      </c>
      <c r="AE41" s="34">
        <v>0</v>
      </c>
      <c r="AF41" s="34">
        <v>0</v>
      </c>
      <c r="AG41" s="34">
        <v>1</v>
      </c>
      <c r="AH41" s="34">
        <v>1</v>
      </c>
      <c r="AI41" s="34">
        <v>0</v>
      </c>
      <c r="AJ41" s="34">
        <v>0</v>
      </c>
      <c r="AK41" s="34">
        <v>0</v>
      </c>
      <c r="AL41" s="34">
        <v>1</v>
      </c>
      <c r="AM41" s="34">
        <v>1</v>
      </c>
      <c r="AN41" s="34">
        <v>1</v>
      </c>
      <c r="AO41" s="34">
        <v>0</v>
      </c>
      <c r="AP41" s="36">
        <v>3</v>
      </c>
      <c r="AQ41" s="27">
        <v>3</v>
      </c>
      <c r="AR41" s="7">
        <v>20</v>
      </c>
      <c r="AS41" s="30">
        <v>4</v>
      </c>
      <c r="AT41" s="23" t="s">
        <v>142</v>
      </c>
      <c r="AU41" s="23" t="s">
        <v>142</v>
      </c>
      <c r="AV41" s="46">
        <v>1</v>
      </c>
      <c r="AW41">
        <v>1</v>
      </c>
    </row>
    <row r="42" spans="1:49" x14ac:dyDescent="0.2">
      <c r="A42" s="34" t="s">
        <v>58</v>
      </c>
      <c r="B42" s="35" t="s">
        <v>45</v>
      </c>
      <c r="C42" s="35" t="s">
        <v>45</v>
      </c>
      <c r="D42" s="35" t="s">
        <v>46</v>
      </c>
      <c r="E42" s="35" t="s">
        <v>49</v>
      </c>
      <c r="F42" s="35" t="s">
        <v>47</v>
      </c>
      <c r="G42" s="35" t="s">
        <v>48</v>
      </c>
      <c r="H42" s="35" t="s">
        <v>47</v>
      </c>
      <c r="I42" s="35" t="s">
        <v>45</v>
      </c>
      <c r="J42" s="35" t="s">
        <v>45</v>
      </c>
      <c r="K42" s="35" t="s">
        <v>48</v>
      </c>
      <c r="L42" s="35" t="s">
        <v>47</v>
      </c>
      <c r="M42" s="35" t="s">
        <v>49</v>
      </c>
      <c r="N42" s="35" t="s">
        <v>49</v>
      </c>
      <c r="O42" s="35" t="s">
        <v>45</v>
      </c>
      <c r="P42" s="35" t="s">
        <v>47</v>
      </c>
      <c r="Q42" s="35" t="s">
        <v>46</v>
      </c>
      <c r="R42" s="35" t="s">
        <v>48</v>
      </c>
      <c r="S42" s="35" t="s">
        <v>47</v>
      </c>
      <c r="T42" s="35" t="s">
        <v>49</v>
      </c>
      <c r="U42" s="35" t="s">
        <v>48</v>
      </c>
      <c r="V42" s="34">
        <v>1</v>
      </c>
      <c r="W42" s="34">
        <v>1</v>
      </c>
      <c r="X42" s="34">
        <v>1</v>
      </c>
      <c r="Y42" s="34">
        <v>1</v>
      </c>
      <c r="Z42" s="34">
        <v>1</v>
      </c>
      <c r="AA42" s="34">
        <v>0</v>
      </c>
      <c r="AB42" s="34">
        <v>1</v>
      </c>
      <c r="AC42" s="34">
        <v>0</v>
      </c>
      <c r="AD42" s="34">
        <v>0</v>
      </c>
      <c r="AE42" s="34">
        <v>0</v>
      </c>
      <c r="AF42" s="34">
        <v>0</v>
      </c>
      <c r="AG42" s="34">
        <v>1</v>
      </c>
      <c r="AH42" s="34">
        <v>1</v>
      </c>
      <c r="AI42" s="34">
        <v>0</v>
      </c>
      <c r="AJ42" s="34">
        <v>0</v>
      </c>
      <c r="AK42" s="34">
        <v>1</v>
      </c>
      <c r="AL42" s="34">
        <v>0</v>
      </c>
      <c r="AM42" s="34">
        <v>0</v>
      </c>
      <c r="AN42" s="34">
        <v>1</v>
      </c>
      <c r="AO42" s="34">
        <v>0</v>
      </c>
      <c r="AP42" s="36">
        <v>3.5</v>
      </c>
      <c r="AQ42" s="27">
        <v>2</v>
      </c>
      <c r="AR42" s="7">
        <v>1</v>
      </c>
      <c r="AS42" s="26">
        <v>22</v>
      </c>
      <c r="AT42" s="23" t="s">
        <v>142</v>
      </c>
      <c r="AU42" s="43" t="s">
        <v>42</v>
      </c>
      <c r="AV42" s="23">
        <v>1</v>
      </c>
      <c r="AW42">
        <v>1</v>
      </c>
    </row>
    <row r="43" spans="1:49" x14ac:dyDescent="0.2">
      <c r="A43" s="34" t="s">
        <v>59</v>
      </c>
      <c r="B43" s="35" t="s">
        <v>47</v>
      </c>
      <c r="C43" s="35" t="s">
        <v>45</v>
      </c>
      <c r="D43" s="35" t="s">
        <v>46</v>
      </c>
      <c r="E43" s="35" t="s">
        <v>49</v>
      </c>
      <c r="F43" s="35" t="s">
        <v>46</v>
      </c>
      <c r="G43" s="35" t="s">
        <v>48</v>
      </c>
      <c r="H43" s="35" t="s">
        <v>48</v>
      </c>
      <c r="I43" s="35" t="s">
        <v>48</v>
      </c>
      <c r="J43" s="35" t="s">
        <v>46</v>
      </c>
      <c r="K43" s="35" t="s">
        <v>46</v>
      </c>
      <c r="L43" s="35" t="s">
        <v>45</v>
      </c>
      <c r="M43" s="35" t="s">
        <v>49</v>
      </c>
      <c r="N43" s="35" t="s">
        <v>49</v>
      </c>
      <c r="O43" s="35" t="s">
        <v>48</v>
      </c>
      <c r="P43" s="35" t="s">
        <v>45</v>
      </c>
      <c r="Q43" s="35" t="s">
        <v>46</v>
      </c>
      <c r="R43" s="35" t="s">
        <v>48</v>
      </c>
      <c r="S43" s="35" t="s">
        <v>46</v>
      </c>
      <c r="T43" s="35" t="s">
        <v>49</v>
      </c>
      <c r="U43" s="35" t="s">
        <v>45</v>
      </c>
      <c r="V43" s="34">
        <v>0</v>
      </c>
      <c r="W43" s="34">
        <v>1</v>
      </c>
      <c r="X43" s="34">
        <v>1</v>
      </c>
      <c r="Y43" s="34">
        <v>1</v>
      </c>
      <c r="Z43" s="34">
        <v>0</v>
      </c>
      <c r="AA43" s="34">
        <v>0</v>
      </c>
      <c r="AB43" s="34">
        <v>0</v>
      </c>
      <c r="AC43" s="34">
        <v>1</v>
      </c>
      <c r="AD43" s="34">
        <v>0</v>
      </c>
      <c r="AE43" s="34">
        <v>0</v>
      </c>
      <c r="AF43" s="34">
        <v>1</v>
      </c>
      <c r="AG43" s="34">
        <v>1</v>
      </c>
      <c r="AH43" s="34">
        <v>1</v>
      </c>
      <c r="AI43" s="34">
        <v>1</v>
      </c>
      <c r="AJ43" s="34">
        <v>1</v>
      </c>
      <c r="AK43" s="34">
        <v>1</v>
      </c>
      <c r="AL43" s="34">
        <v>0</v>
      </c>
      <c r="AM43" s="34">
        <v>0</v>
      </c>
      <c r="AN43" s="34">
        <v>1</v>
      </c>
      <c r="AO43" s="34">
        <v>1</v>
      </c>
      <c r="AP43" s="36">
        <v>4</v>
      </c>
      <c r="AQ43" s="27">
        <v>2</v>
      </c>
      <c r="AR43" s="7">
        <v>2</v>
      </c>
      <c r="AS43" s="26">
        <v>16</v>
      </c>
      <c r="AT43" s="23" t="s">
        <v>142</v>
      </c>
      <c r="AU43" s="43" t="s">
        <v>42</v>
      </c>
      <c r="AV43" s="23">
        <v>2</v>
      </c>
      <c r="AW43">
        <v>1</v>
      </c>
    </row>
    <row r="44" spans="1:49" x14ac:dyDescent="0.2">
      <c r="A44" s="34" t="s">
        <v>60</v>
      </c>
      <c r="B44" s="35" t="s">
        <v>47</v>
      </c>
      <c r="C44" s="35" t="s">
        <v>45</v>
      </c>
      <c r="D44" s="35" t="s">
        <v>46</v>
      </c>
      <c r="E44" s="35" t="s">
        <v>49</v>
      </c>
      <c r="F44" s="35" t="s">
        <v>45</v>
      </c>
      <c r="G44" s="35" t="s">
        <v>48</v>
      </c>
      <c r="H44" s="35" t="s">
        <v>47</v>
      </c>
      <c r="I44" s="35" t="s">
        <v>47</v>
      </c>
      <c r="J44" s="35" t="s">
        <v>47</v>
      </c>
      <c r="K44" s="35" t="s">
        <v>48</v>
      </c>
      <c r="L44" s="35" t="s">
        <v>47</v>
      </c>
      <c r="M44" s="35" t="s">
        <v>49</v>
      </c>
      <c r="N44" s="35" t="s">
        <v>49</v>
      </c>
      <c r="O44" s="35" t="s">
        <v>47</v>
      </c>
      <c r="P44" s="35" t="s">
        <v>45</v>
      </c>
      <c r="Q44" s="35" t="s">
        <v>45</v>
      </c>
      <c r="R44" s="35" t="s">
        <v>6</v>
      </c>
      <c r="S44" s="35" t="s">
        <v>48</v>
      </c>
      <c r="T44" s="35" t="s">
        <v>49</v>
      </c>
      <c r="U44" s="35" t="s">
        <v>45</v>
      </c>
      <c r="V44" s="34">
        <v>0</v>
      </c>
      <c r="W44" s="34">
        <v>1</v>
      </c>
      <c r="X44" s="34">
        <v>1</v>
      </c>
      <c r="Y44" s="34">
        <v>1</v>
      </c>
      <c r="Z44" s="34">
        <v>0</v>
      </c>
      <c r="AA44" s="34">
        <v>0</v>
      </c>
      <c r="AB44" s="34">
        <v>1</v>
      </c>
      <c r="AC44" s="34">
        <v>0</v>
      </c>
      <c r="AD44" s="34">
        <v>1</v>
      </c>
      <c r="AE44" s="34">
        <v>0</v>
      </c>
      <c r="AF44" s="34">
        <v>0</v>
      </c>
      <c r="AG44" s="34">
        <v>1</v>
      </c>
      <c r="AH44" s="34">
        <v>1</v>
      </c>
      <c r="AI44" s="34">
        <v>0</v>
      </c>
      <c r="AJ44" s="34">
        <v>1</v>
      </c>
      <c r="AK44" s="34">
        <v>0</v>
      </c>
      <c r="AL44" s="34">
        <v>0</v>
      </c>
      <c r="AM44" s="34">
        <v>1</v>
      </c>
      <c r="AN44" s="34">
        <v>1</v>
      </c>
      <c r="AO44" s="34">
        <v>1</v>
      </c>
      <c r="AP44" s="36">
        <v>3.75</v>
      </c>
      <c r="AQ44" s="27">
        <v>2</v>
      </c>
      <c r="AR44" s="7">
        <v>3</v>
      </c>
      <c r="AS44" s="26">
        <v>6</v>
      </c>
      <c r="AT44" s="23" t="s">
        <v>142</v>
      </c>
      <c r="AU44" s="43" t="s">
        <v>42</v>
      </c>
      <c r="AV44" s="23">
        <v>4</v>
      </c>
      <c r="AW44">
        <v>1</v>
      </c>
    </row>
    <row r="45" spans="1:49" x14ac:dyDescent="0.2">
      <c r="A45" s="34" t="s">
        <v>61</v>
      </c>
      <c r="B45" s="35" t="s">
        <v>45</v>
      </c>
      <c r="C45" s="35" t="s">
        <v>48</v>
      </c>
      <c r="D45" s="35" t="s">
        <v>46</v>
      </c>
      <c r="E45" s="35" t="s">
        <v>49</v>
      </c>
      <c r="F45" s="35" t="s">
        <v>47</v>
      </c>
      <c r="G45" s="35" t="s">
        <v>46</v>
      </c>
      <c r="H45" s="35" t="s">
        <v>45</v>
      </c>
      <c r="I45" s="35" t="s">
        <v>47</v>
      </c>
      <c r="J45" s="35" t="s">
        <v>46</v>
      </c>
      <c r="K45" s="35" t="s">
        <v>46</v>
      </c>
      <c r="L45" s="35" t="s">
        <v>48</v>
      </c>
      <c r="M45" s="35" t="s">
        <v>49</v>
      </c>
      <c r="N45" s="35" t="s">
        <v>49</v>
      </c>
      <c r="O45" s="35" t="s">
        <v>47</v>
      </c>
      <c r="P45" s="35" t="s">
        <v>45</v>
      </c>
      <c r="Q45" s="35" t="s">
        <v>46</v>
      </c>
      <c r="R45" s="35" t="s">
        <v>46</v>
      </c>
      <c r="S45" s="35" t="s">
        <v>45</v>
      </c>
      <c r="T45" s="35" t="s">
        <v>49</v>
      </c>
      <c r="U45" s="35" t="s">
        <v>48</v>
      </c>
      <c r="V45" s="34">
        <v>1</v>
      </c>
      <c r="W45" s="34">
        <v>0</v>
      </c>
      <c r="X45" s="34">
        <v>1</v>
      </c>
      <c r="Y45" s="34">
        <v>1</v>
      </c>
      <c r="Z45" s="34">
        <v>1</v>
      </c>
      <c r="AA45" s="34">
        <v>1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1</v>
      </c>
      <c r="AH45" s="34">
        <v>1</v>
      </c>
      <c r="AI45" s="34">
        <v>0</v>
      </c>
      <c r="AJ45" s="34">
        <v>1</v>
      </c>
      <c r="AK45" s="34">
        <v>1</v>
      </c>
      <c r="AL45" s="34">
        <v>0</v>
      </c>
      <c r="AM45" s="34">
        <v>0</v>
      </c>
      <c r="AN45" s="34">
        <v>1</v>
      </c>
      <c r="AO45" s="34">
        <v>0</v>
      </c>
      <c r="AP45" s="36">
        <v>3.5</v>
      </c>
      <c r="AQ45" s="27">
        <v>2</v>
      </c>
      <c r="AR45" s="7">
        <v>4</v>
      </c>
      <c r="AS45" s="26">
        <v>9</v>
      </c>
      <c r="AT45" s="23" t="s">
        <v>142</v>
      </c>
      <c r="AU45" s="43" t="s">
        <v>42</v>
      </c>
      <c r="AV45" s="23">
        <v>3</v>
      </c>
      <c r="AW45">
        <v>1</v>
      </c>
    </row>
    <row r="46" spans="1:49" x14ac:dyDescent="0.2">
      <c r="A46" s="34" t="s">
        <v>62</v>
      </c>
      <c r="B46" s="35" t="s">
        <v>45</v>
      </c>
      <c r="C46" s="35" t="s">
        <v>47</v>
      </c>
      <c r="D46" s="35" t="s">
        <v>45</v>
      </c>
      <c r="E46" s="35" t="s">
        <v>49</v>
      </c>
      <c r="F46" s="35" t="s">
        <v>45</v>
      </c>
      <c r="G46" s="35" t="s">
        <v>48</v>
      </c>
      <c r="H46" s="35" t="s">
        <v>47</v>
      </c>
      <c r="I46" s="35" t="s">
        <v>45</v>
      </c>
      <c r="J46" s="35" t="s">
        <v>45</v>
      </c>
      <c r="K46" s="35" t="s">
        <v>46</v>
      </c>
      <c r="L46" s="35" t="s">
        <v>45</v>
      </c>
      <c r="M46" s="35" t="s">
        <v>49</v>
      </c>
      <c r="N46" s="35" t="s">
        <v>49</v>
      </c>
      <c r="O46" s="35" t="s">
        <v>45</v>
      </c>
      <c r="P46" s="35" t="s">
        <v>45</v>
      </c>
      <c r="Q46" s="35" t="s">
        <v>45</v>
      </c>
      <c r="R46" s="35" t="s">
        <v>47</v>
      </c>
      <c r="S46" s="35" t="s">
        <v>45</v>
      </c>
      <c r="T46" s="35" t="s">
        <v>49</v>
      </c>
      <c r="U46" s="35" t="s">
        <v>48</v>
      </c>
      <c r="V46" s="34">
        <v>1</v>
      </c>
      <c r="W46" s="34">
        <v>0</v>
      </c>
      <c r="X46" s="34">
        <v>0</v>
      </c>
      <c r="Y46" s="34">
        <v>1</v>
      </c>
      <c r="Z46" s="34">
        <v>0</v>
      </c>
      <c r="AA46" s="34">
        <v>0</v>
      </c>
      <c r="AB46" s="34">
        <v>1</v>
      </c>
      <c r="AC46" s="34">
        <v>0</v>
      </c>
      <c r="AD46" s="34">
        <v>0</v>
      </c>
      <c r="AE46" s="34">
        <v>0</v>
      </c>
      <c r="AF46" s="34">
        <v>1</v>
      </c>
      <c r="AG46" s="34">
        <v>1</v>
      </c>
      <c r="AH46" s="34">
        <v>1</v>
      </c>
      <c r="AI46" s="34">
        <v>0</v>
      </c>
      <c r="AJ46" s="34">
        <v>1</v>
      </c>
      <c r="AK46" s="34">
        <v>0</v>
      </c>
      <c r="AL46" s="34">
        <v>0</v>
      </c>
      <c r="AM46" s="34">
        <v>0</v>
      </c>
      <c r="AN46" s="34">
        <v>1</v>
      </c>
      <c r="AO46" s="34">
        <v>0</v>
      </c>
      <c r="AP46" s="36">
        <v>3</v>
      </c>
      <c r="AQ46" s="27">
        <v>2</v>
      </c>
      <c r="AR46" s="7">
        <v>5</v>
      </c>
      <c r="AS46" s="26">
        <v>18</v>
      </c>
      <c r="AT46" s="23" t="s">
        <v>142</v>
      </c>
      <c r="AU46" s="43" t="s">
        <v>42</v>
      </c>
      <c r="AV46" s="23">
        <v>4</v>
      </c>
      <c r="AW46">
        <v>1</v>
      </c>
    </row>
    <row r="47" spans="1:49" x14ac:dyDescent="0.2">
      <c r="A47" s="34" t="s">
        <v>63</v>
      </c>
      <c r="B47" s="35" t="s">
        <v>45</v>
      </c>
      <c r="C47" s="35" t="s">
        <v>46</v>
      </c>
      <c r="D47" s="35" t="s">
        <v>46</v>
      </c>
      <c r="E47" s="35" t="s">
        <v>49</v>
      </c>
      <c r="F47" s="35" t="s">
        <v>46</v>
      </c>
      <c r="G47" s="35" t="s">
        <v>47</v>
      </c>
      <c r="H47" s="35" t="s">
        <v>48</v>
      </c>
      <c r="I47" s="35" t="s">
        <v>46</v>
      </c>
      <c r="J47" s="35" t="s">
        <v>47</v>
      </c>
      <c r="K47" s="35" t="s">
        <v>48</v>
      </c>
      <c r="L47" s="35" t="s">
        <v>48</v>
      </c>
      <c r="M47" s="35" t="s">
        <v>49</v>
      </c>
      <c r="N47" s="35" t="s">
        <v>49</v>
      </c>
      <c r="O47" s="35" t="s">
        <v>46</v>
      </c>
      <c r="P47" s="35" t="s">
        <v>47</v>
      </c>
      <c r="Q47" s="35" t="s">
        <v>46</v>
      </c>
      <c r="R47" s="35" t="s">
        <v>45</v>
      </c>
      <c r="S47" s="35" t="s">
        <v>47</v>
      </c>
      <c r="T47" s="35" t="s">
        <v>49</v>
      </c>
      <c r="U47" s="35" t="s">
        <v>48</v>
      </c>
      <c r="V47" s="34">
        <v>1</v>
      </c>
      <c r="W47" s="34">
        <v>0</v>
      </c>
      <c r="X47" s="34">
        <v>1</v>
      </c>
      <c r="Y47" s="34">
        <v>1</v>
      </c>
      <c r="Z47" s="34">
        <v>0</v>
      </c>
      <c r="AA47" s="34">
        <v>0</v>
      </c>
      <c r="AB47" s="34">
        <v>0</v>
      </c>
      <c r="AC47" s="34">
        <v>0</v>
      </c>
      <c r="AD47" s="34">
        <v>1</v>
      </c>
      <c r="AE47" s="34">
        <v>0</v>
      </c>
      <c r="AF47" s="34">
        <v>0</v>
      </c>
      <c r="AG47" s="34">
        <v>1</v>
      </c>
      <c r="AH47" s="34">
        <v>1</v>
      </c>
      <c r="AI47" s="34">
        <v>0</v>
      </c>
      <c r="AJ47" s="34">
        <v>0</v>
      </c>
      <c r="AK47" s="34">
        <v>1</v>
      </c>
      <c r="AL47" s="34">
        <v>1</v>
      </c>
      <c r="AM47" s="34">
        <v>0</v>
      </c>
      <c r="AN47" s="34">
        <v>1</v>
      </c>
      <c r="AO47" s="34">
        <v>0</v>
      </c>
      <c r="AP47" s="36">
        <v>3.25</v>
      </c>
      <c r="AQ47" s="27">
        <v>2</v>
      </c>
      <c r="AR47" s="44">
        <v>6</v>
      </c>
      <c r="AS47" s="26">
        <v>28</v>
      </c>
      <c r="AT47" s="23" t="s">
        <v>142</v>
      </c>
      <c r="AU47" s="43" t="s">
        <v>42</v>
      </c>
      <c r="AV47" s="23">
        <v>1</v>
      </c>
      <c r="AW47">
        <v>1</v>
      </c>
    </row>
    <row r="48" spans="1:49" x14ac:dyDescent="0.2">
      <c r="A48" s="34" t="s">
        <v>64</v>
      </c>
      <c r="B48" s="35" t="s">
        <v>48</v>
      </c>
      <c r="C48" s="35" t="s">
        <v>47</v>
      </c>
      <c r="D48" s="35" t="s">
        <v>46</v>
      </c>
      <c r="E48" s="35" t="s">
        <v>49</v>
      </c>
      <c r="F48" s="35" t="s">
        <v>45</v>
      </c>
      <c r="G48" s="35" t="s">
        <v>47</v>
      </c>
      <c r="H48" s="35" t="s">
        <v>45</v>
      </c>
      <c r="I48" s="35" t="s">
        <v>46</v>
      </c>
      <c r="J48" s="35" t="s">
        <v>47</v>
      </c>
      <c r="K48" s="35" t="s">
        <v>48</v>
      </c>
      <c r="L48" s="35" t="s">
        <v>47</v>
      </c>
      <c r="M48" s="35" t="s">
        <v>49</v>
      </c>
      <c r="N48" s="35" t="s">
        <v>49</v>
      </c>
      <c r="O48" s="35" t="s">
        <v>46</v>
      </c>
      <c r="P48" s="35" t="s">
        <v>47</v>
      </c>
      <c r="Q48" s="35" t="s">
        <v>47</v>
      </c>
      <c r="R48" s="35" t="s">
        <v>48</v>
      </c>
      <c r="S48" s="35" t="s">
        <v>46</v>
      </c>
      <c r="T48" s="35" t="s">
        <v>49</v>
      </c>
      <c r="U48" s="35" t="s">
        <v>47</v>
      </c>
      <c r="V48" s="34">
        <v>0</v>
      </c>
      <c r="W48" s="34">
        <v>0</v>
      </c>
      <c r="X48" s="34">
        <v>1</v>
      </c>
      <c r="Y48" s="34">
        <v>1</v>
      </c>
      <c r="Z48" s="34">
        <v>0</v>
      </c>
      <c r="AA48" s="34">
        <v>0</v>
      </c>
      <c r="AB48" s="34">
        <v>0</v>
      </c>
      <c r="AC48" s="34">
        <v>0</v>
      </c>
      <c r="AD48" s="34">
        <v>1</v>
      </c>
      <c r="AE48" s="34">
        <v>0</v>
      </c>
      <c r="AF48" s="34">
        <v>0</v>
      </c>
      <c r="AG48" s="34">
        <v>1</v>
      </c>
      <c r="AH48" s="34">
        <v>1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1</v>
      </c>
      <c r="AO48" s="34">
        <v>0</v>
      </c>
      <c r="AP48" s="36">
        <v>2.5</v>
      </c>
      <c r="AQ48" s="27">
        <v>1</v>
      </c>
      <c r="AR48" s="44">
        <v>7</v>
      </c>
      <c r="AS48" s="26">
        <v>21</v>
      </c>
      <c r="AT48" s="23" t="s">
        <v>142</v>
      </c>
      <c r="AU48" s="43" t="s">
        <v>42</v>
      </c>
      <c r="AV48" s="23">
        <v>3</v>
      </c>
      <c r="AW48">
        <v>1</v>
      </c>
    </row>
    <row r="49" spans="1:49" x14ac:dyDescent="0.2">
      <c r="A49" s="34" t="s">
        <v>65</v>
      </c>
      <c r="B49" s="35" t="s">
        <v>46</v>
      </c>
      <c r="C49" s="35" t="s">
        <v>45</v>
      </c>
      <c r="D49" s="35" t="s">
        <v>47</v>
      </c>
      <c r="E49" s="35" t="s">
        <v>49</v>
      </c>
      <c r="F49" s="35" t="s">
        <v>46</v>
      </c>
      <c r="G49" s="35" t="s">
        <v>48</v>
      </c>
      <c r="H49" s="35" t="s">
        <v>47</v>
      </c>
      <c r="I49" s="35" t="s">
        <v>48</v>
      </c>
      <c r="J49" s="35" t="s">
        <v>48</v>
      </c>
      <c r="K49" s="35" t="s">
        <v>46</v>
      </c>
      <c r="L49" s="35" t="s">
        <v>46</v>
      </c>
      <c r="M49" s="35" t="s">
        <v>49</v>
      </c>
      <c r="N49" s="35" t="s">
        <v>49</v>
      </c>
      <c r="O49" s="35" t="s">
        <v>6</v>
      </c>
      <c r="P49" s="35" t="s">
        <v>45</v>
      </c>
      <c r="Q49" s="35" t="s">
        <v>46</v>
      </c>
      <c r="R49" s="35" t="s">
        <v>47</v>
      </c>
      <c r="S49" s="35" t="s">
        <v>48</v>
      </c>
      <c r="T49" s="35" t="s">
        <v>49</v>
      </c>
      <c r="U49" s="35" t="s">
        <v>48</v>
      </c>
      <c r="V49" s="34">
        <v>0</v>
      </c>
      <c r="W49" s="34">
        <v>1</v>
      </c>
      <c r="X49" s="34">
        <v>0</v>
      </c>
      <c r="Y49" s="34">
        <v>1</v>
      </c>
      <c r="Z49" s="34">
        <v>0</v>
      </c>
      <c r="AA49" s="34">
        <v>0</v>
      </c>
      <c r="AB49" s="34">
        <v>1</v>
      </c>
      <c r="AC49" s="34">
        <v>1</v>
      </c>
      <c r="AD49" s="34">
        <v>0</v>
      </c>
      <c r="AE49" s="34">
        <v>0</v>
      </c>
      <c r="AF49" s="34">
        <v>0</v>
      </c>
      <c r="AG49" s="34">
        <v>1</v>
      </c>
      <c r="AH49" s="34">
        <v>1</v>
      </c>
      <c r="AI49" s="34">
        <v>0</v>
      </c>
      <c r="AJ49" s="34">
        <v>1</v>
      </c>
      <c r="AK49" s="34">
        <v>1</v>
      </c>
      <c r="AL49" s="34">
        <v>0</v>
      </c>
      <c r="AM49" s="34">
        <v>1</v>
      </c>
      <c r="AN49" s="34">
        <v>1</v>
      </c>
      <c r="AO49" s="34">
        <v>0</v>
      </c>
      <c r="AP49" s="36">
        <v>3.5</v>
      </c>
      <c r="AQ49" s="27">
        <v>3</v>
      </c>
      <c r="AR49" s="44">
        <v>8</v>
      </c>
      <c r="AS49" s="26">
        <v>10</v>
      </c>
      <c r="AT49" s="23" t="s">
        <v>142</v>
      </c>
      <c r="AU49" s="43" t="s">
        <v>42</v>
      </c>
      <c r="AV49" s="23">
        <v>3</v>
      </c>
      <c r="AW49">
        <v>1</v>
      </c>
    </row>
    <row r="50" spans="1:49" x14ac:dyDescent="0.2">
      <c r="A50" s="34" t="s">
        <v>66</v>
      </c>
      <c r="B50" s="35" t="s">
        <v>46</v>
      </c>
      <c r="C50" s="35" t="s">
        <v>46</v>
      </c>
      <c r="D50" s="35" t="s">
        <v>45</v>
      </c>
      <c r="E50" s="35" t="s">
        <v>49</v>
      </c>
      <c r="F50" s="35" t="s">
        <v>47</v>
      </c>
      <c r="G50" s="35" t="s">
        <v>45</v>
      </c>
      <c r="H50" s="35" t="s">
        <v>47</v>
      </c>
      <c r="I50" s="35" t="s">
        <v>47</v>
      </c>
      <c r="J50" s="35" t="s">
        <v>48</v>
      </c>
      <c r="K50" s="35" t="s">
        <v>45</v>
      </c>
      <c r="L50" s="35" t="s">
        <v>46</v>
      </c>
      <c r="M50" s="35" t="s">
        <v>49</v>
      </c>
      <c r="N50" s="35" t="s">
        <v>49</v>
      </c>
      <c r="O50" s="35" t="s">
        <v>47</v>
      </c>
      <c r="P50" s="35" t="s">
        <v>46</v>
      </c>
      <c r="Q50" s="35" t="s">
        <v>47</v>
      </c>
      <c r="R50" s="35" t="s">
        <v>46</v>
      </c>
      <c r="S50" s="35" t="s">
        <v>45</v>
      </c>
      <c r="T50" s="35" t="s">
        <v>49</v>
      </c>
      <c r="U50" s="35" t="s">
        <v>48</v>
      </c>
      <c r="V50" s="34">
        <v>0</v>
      </c>
      <c r="W50" s="34">
        <v>0</v>
      </c>
      <c r="X50" s="34">
        <v>0</v>
      </c>
      <c r="Y50" s="34">
        <v>1</v>
      </c>
      <c r="Z50" s="34">
        <v>1</v>
      </c>
      <c r="AA50" s="34">
        <v>0</v>
      </c>
      <c r="AB50" s="34">
        <v>1</v>
      </c>
      <c r="AC50" s="34">
        <v>0</v>
      </c>
      <c r="AD50" s="34">
        <v>0</v>
      </c>
      <c r="AE50" s="34">
        <v>1</v>
      </c>
      <c r="AF50" s="34">
        <v>0</v>
      </c>
      <c r="AG50" s="34">
        <v>1</v>
      </c>
      <c r="AH50" s="34">
        <v>1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1</v>
      </c>
      <c r="AO50" s="34">
        <v>0</v>
      </c>
      <c r="AP50" s="36">
        <v>2.75</v>
      </c>
      <c r="AQ50" s="27">
        <v>1</v>
      </c>
      <c r="AR50" s="44">
        <v>9</v>
      </c>
      <c r="AS50" s="26">
        <v>5</v>
      </c>
      <c r="AT50" s="23" t="s">
        <v>142</v>
      </c>
      <c r="AU50" s="43" t="s">
        <v>42</v>
      </c>
      <c r="AV50" s="23">
        <v>5</v>
      </c>
      <c r="AW50">
        <v>1</v>
      </c>
    </row>
    <row r="51" spans="1:49" x14ac:dyDescent="0.2">
      <c r="A51" s="34" t="s">
        <v>67</v>
      </c>
      <c r="B51" s="35" t="s">
        <v>45</v>
      </c>
      <c r="C51" s="35" t="s">
        <v>47</v>
      </c>
      <c r="D51" s="35" t="s">
        <v>45</v>
      </c>
      <c r="E51" s="35" t="s">
        <v>49</v>
      </c>
      <c r="F51" s="35" t="s">
        <v>46</v>
      </c>
      <c r="G51" s="35" t="s">
        <v>48</v>
      </c>
      <c r="H51" s="35" t="s">
        <v>47</v>
      </c>
      <c r="I51" s="35" t="s">
        <v>48</v>
      </c>
      <c r="J51" s="35" t="s">
        <v>48</v>
      </c>
      <c r="K51" s="35" t="s">
        <v>46</v>
      </c>
      <c r="L51" s="35" t="s">
        <v>46</v>
      </c>
      <c r="M51" s="35" t="s">
        <v>49</v>
      </c>
      <c r="N51" s="35" t="s">
        <v>49</v>
      </c>
      <c r="O51" s="35" t="s">
        <v>48</v>
      </c>
      <c r="P51" s="35" t="s">
        <v>45</v>
      </c>
      <c r="Q51" s="35" t="s">
        <v>46</v>
      </c>
      <c r="R51" s="35" t="s">
        <v>47</v>
      </c>
      <c r="S51" s="35" t="s">
        <v>48</v>
      </c>
      <c r="T51" s="35" t="s">
        <v>49</v>
      </c>
      <c r="U51" s="35" t="s">
        <v>48</v>
      </c>
      <c r="V51" s="34">
        <v>1</v>
      </c>
      <c r="W51" s="34">
        <v>0</v>
      </c>
      <c r="X51" s="34">
        <v>0</v>
      </c>
      <c r="Y51" s="34">
        <v>1</v>
      </c>
      <c r="Z51" s="34">
        <v>0</v>
      </c>
      <c r="AA51" s="34">
        <v>0</v>
      </c>
      <c r="AB51" s="34">
        <v>1</v>
      </c>
      <c r="AC51" s="34">
        <v>1</v>
      </c>
      <c r="AD51" s="34">
        <v>0</v>
      </c>
      <c r="AE51" s="34">
        <v>0</v>
      </c>
      <c r="AF51" s="34">
        <v>0</v>
      </c>
      <c r="AG51" s="34">
        <v>1</v>
      </c>
      <c r="AH51" s="34">
        <v>1</v>
      </c>
      <c r="AI51" s="34">
        <v>1</v>
      </c>
      <c r="AJ51" s="34">
        <v>1</v>
      </c>
      <c r="AK51" s="34">
        <v>1</v>
      </c>
      <c r="AL51" s="34">
        <v>0</v>
      </c>
      <c r="AM51" s="34">
        <v>1</v>
      </c>
      <c r="AN51" s="34">
        <v>1</v>
      </c>
      <c r="AO51" s="34">
        <v>0</v>
      </c>
      <c r="AP51" s="36">
        <v>3.75</v>
      </c>
      <c r="AQ51" s="27">
        <v>3</v>
      </c>
      <c r="AR51" s="7">
        <v>10</v>
      </c>
      <c r="AS51" s="26">
        <v>1</v>
      </c>
      <c r="AT51" s="23" t="s">
        <v>142</v>
      </c>
      <c r="AU51" s="43" t="s">
        <v>42</v>
      </c>
      <c r="AV51" s="23">
        <v>2</v>
      </c>
      <c r="AW51">
        <v>1</v>
      </c>
    </row>
    <row r="52" spans="1:49" x14ac:dyDescent="0.2">
      <c r="A52" s="34" t="s">
        <v>68</v>
      </c>
      <c r="B52" s="35" t="s">
        <v>45</v>
      </c>
      <c r="C52" s="35" t="s">
        <v>46</v>
      </c>
      <c r="D52" s="35" t="s">
        <v>45</v>
      </c>
      <c r="E52" s="35" t="s">
        <v>49</v>
      </c>
      <c r="F52" s="35" t="s">
        <v>46</v>
      </c>
      <c r="G52" s="35" t="s">
        <v>48</v>
      </c>
      <c r="H52" s="35" t="s">
        <v>46</v>
      </c>
      <c r="I52" s="35" t="s">
        <v>48</v>
      </c>
      <c r="J52" s="35" t="s">
        <v>48</v>
      </c>
      <c r="K52" s="35" t="s">
        <v>45</v>
      </c>
      <c r="L52" s="35" t="s">
        <v>45</v>
      </c>
      <c r="M52" s="35" t="s">
        <v>49</v>
      </c>
      <c r="N52" s="35" t="s">
        <v>49</v>
      </c>
      <c r="O52" s="35" t="s">
        <v>47</v>
      </c>
      <c r="P52" s="35" t="s">
        <v>47</v>
      </c>
      <c r="Q52" s="35" t="s">
        <v>45</v>
      </c>
      <c r="R52" s="35" t="s">
        <v>45</v>
      </c>
      <c r="S52" s="35" t="s">
        <v>47</v>
      </c>
      <c r="T52" s="35" t="s">
        <v>49</v>
      </c>
      <c r="U52" s="35" t="s">
        <v>46</v>
      </c>
      <c r="V52" s="34">
        <v>1</v>
      </c>
      <c r="W52" s="34">
        <v>0</v>
      </c>
      <c r="X52" s="34">
        <v>0</v>
      </c>
      <c r="Y52" s="34">
        <v>1</v>
      </c>
      <c r="Z52" s="34">
        <v>0</v>
      </c>
      <c r="AA52" s="34">
        <v>0</v>
      </c>
      <c r="AB52" s="34">
        <v>0</v>
      </c>
      <c r="AC52" s="34">
        <v>1</v>
      </c>
      <c r="AD52" s="34">
        <v>0</v>
      </c>
      <c r="AE52" s="34">
        <v>1</v>
      </c>
      <c r="AF52" s="34">
        <v>1</v>
      </c>
      <c r="AG52" s="34">
        <v>1</v>
      </c>
      <c r="AH52" s="34">
        <v>1</v>
      </c>
      <c r="AI52" s="34">
        <v>0</v>
      </c>
      <c r="AJ52" s="34">
        <v>0</v>
      </c>
      <c r="AK52" s="34">
        <v>0</v>
      </c>
      <c r="AL52" s="34">
        <v>1</v>
      </c>
      <c r="AM52" s="34">
        <v>0</v>
      </c>
      <c r="AN52" s="34">
        <v>1</v>
      </c>
      <c r="AO52" s="34">
        <v>0</v>
      </c>
      <c r="AP52" s="36">
        <v>3.25</v>
      </c>
      <c r="AQ52" s="27">
        <v>3</v>
      </c>
      <c r="AR52" s="7">
        <v>11</v>
      </c>
      <c r="AS52" s="26">
        <v>21</v>
      </c>
      <c r="AT52" s="23" t="s">
        <v>142</v>
      </c>
      <c r="AU52" s="43" t="s">
        <v>42</v>
      </c>
      <c r="AV52" s="23">
        <v>2</v>
      </c>
      <c r="AW52">
        <v>1</v>
      </c>
    </row>
    <row r="53" spans="1:49" x14ac:dyDescent="0.2">
      <c r="A53" s="34" t="s">
        <v>69</v>
      </c>
      <c r="B53" s="35" t="s">
        <v>46</v>
      </c>
      <c r="C53" s="35" t="s">
        <v>45</v>
      </c>
      <c r="D53" s="35" t="s">
        <v>48</v>
      </c>
      <c r="E53" s="35" t="s">
        <v>49</v>
      </c>
      <c r="F53" s="35" t="s">
        <v>45</v>
      </c>
      <c r="G53" s="35" t="s">
        <v>47</v>
      </c>
      <c r="H53" s="35" t="s">
        <v>47</v>
      </c>
      <c r="I53" s="35" t="s">
        <v>48</v>
      </c>
      <c r="J53" s="35" t="s">
        <v>46</v>
      </c>
      <c r="K53" s="35" t="s">
        <v>45</v>
      </c>
      <c r="L53" s="35" t="s">
        <v>46</v>
      </c>
      <c r="M53" s="35" t="s">
        <v>49</v>
      </c>
      <c r="N53" s="35" t="s">
        <v>49</v>
      </c>
      <c r="O53" s="35" t="s">
        <v>48</v>
      </c>
      <c r="P53" s="35" t="s">
        <v>47</v>
      </c>
      <c r="Q53" s="35" t="s">
        <v>46</v>
      </c>
      <c r="R53" s="35" t="s">
        <v>48</v>
      </c>
      <c r="S53" s="35" t="s">
        <v>45</v>
      </c>
      <c r="T53" s="35" t="s">
        <v>49</v>
      </c>
      <c r="U53" s="35" t="s">
        <v>48</v>
      </c>
      <c r="V53" s="34">
        <v>0</v>
      </c>
      <c r="W53" s="34">
        <v>1</v>
      </c>
      <c r="X53" s="34">
        <v>0</v>
      </c>
      <c r="Y53" s="34">
        <v>1</v>
      </c>
      <c r="Z53" s="34">
        <v>0</v>
      </c>
      <c r="AA53" s="34">
        <v>0</v>
      </c>
      <c r="AB53" s="34">
        <v>1</v>
      </c>
      <c r="AC53" s="34">
        <v>1</v>
      </c>
      <c r="AD53" s="34">
        <v>0</v>
      </c>
      <c r="AE53" s="34">
        <v>1</v>
      </c>
      <c r="AF53" s="34">
        <v>0</v>
      </c>
      <c r="AG53" s="34">
        <v>1</v>
      </c>
      <c r="AH53" s="34">
        <v>1</v>
      </c>
      <c r="AI53" s="34">
        <v>1</v>
      </c>
      <c r="AJ53" s="34">
        <v>0</v>
      </c>
      <c r="AK53" s="34">
        <v>1</v>
      </c>
      <c r="AL53" s="34">
        <v>0</v>
      </c>
      <c r="AM53" s="34">
        <v>0</v>
      </c>
      <c r="AN53" s="34">
        <v>1</v>
      </c>
      <c r="AO53" s="34">
        <v>0</v>
      </c>
      <c r="AP53" s="36">
        <v>3.5</v>
      </c>
      <c r="AQ53" s="27">
        <v>1</v>
      </c>
      <c r="AR53" s="7">
        <v>12</v>
      </c>
      <c r="AS53" s="26">
        <v>6</v>
      </c>
      <c r="AT53" s="23" t="s">
        <v>142</v>
      </c>
      <c r="AU53" s="43" t="s">
        <v>42</v>
      </c>
      <c r="AV53" s="23">
        <v>1</v>
      </c>
      <c r="AW53">
        <v>1</v>
      </c>
    </row>
    <row r="54" spans="1:49" x14ac:dyDescent="0.2">
      <c r="A54" s="34" t="s">
        <v>70</v>
      </c>
      <c r="B54" s="35" t="s">
        <v>47</v>
      </c>
      <c r="C54" s="35" t="s">
        <v>48</v>
      </c>
      <c r="D54" s="35" t="s">
        <v>45</v>
      </c>
      <c r="E54" s="35" t="s">
        <v>49</v>
      </c>
      <c r="F54" s="35" t="s">
        <v>46</v>
      </c>
      <c r="G54" s="35" t="s">
        <v>47</v>
      </c>
      <c r="H54" s="35" t="s">
        <v>47</v>
      </c>
      <c r="I54" s="35" t="s">
        <v>47</v>
      </c>
      <c r="J54" s="35" t="s">
        <v>48</v>
      </c>
      <c r="K54" s="35" t="s">
        <v>45</v>
      </c>
      <c r="L54" s="35" t="s">
        <v>48</v>
      </c>
      <c r="M54" s="35" t="s">
        <v>49</v>
      </c>
      <c r="N54" s="35" t="s">
        <v>49</v>
      </c>
      <c r="O54" s="35" t="s">
        <v>46</v>
      </c>
      <c r="P54" s="35" t="s">
        <v>48</v>
      </c>
      <c r="Q54" s="35" t="s">
        <v>46</v>
      </c>
      <c r="R54" s="35" t="s">
        <v>48</v>
      </c>
      <c r="S54" s="35" t="s">
        <v>45</v>
      </c>
      <c r="T54" s="35" t="s">
        <v>49</v>
      </c>
      <c r="U54" s="35" t="s">
        <v>45</v>
      </c>
      <c r="V54" s="34">
        <v>0</v>
      </c>
      <c r="W54" s="34">
        <v>0</v>
      </c>
      <c r="X54" s="34">
        <v>0</v>
      </c>
      <c r="Y54" s="34">
        <v>1</v>
      </c>
      <c r="Z54" s="34">
        <v>0</v>
      </c>
      <c r="AA54" s="34">
        <v>0</v>
      </c>
      <c r="AB54" s="34">
        <v>1</v>
      </c>
      <c r="AC54" s="34">
        <v>0</v>
      </c>
      <c r="AD54" s="34">
        <v>0</v>
      </c>
      <c r="AE54" s="34">
        <v>1</v>
      </c>
      <c r="AF54" s="34">
        <v>0</v>
      </c>
      <c r="AG54" s="34">
        <v>1</v>
      </c>
      <c r="AH54" s="34">
        <v>1</v>
      </c>
      <c r="AI54" s="34">
        <v>0</v>
      </c>
      <c r="AJ54" s="34">
        <v>0</v>
      </c>
      <c r="AK54" s="34">
        <v>1</v>
      </c>
      <c r="AL54" s="34">
        <v>0</v>
      </c>
      <c r="AM54" s="34">
        <v>0</v>
      </c>
      <c r="AN54" s="34">
        <v>1</v>
      </c>
      <c r="AO54" s="34">
        <v>1</v>
      </c>
      <c r="AP54" s="36">
        <v>3</v>
      </c>
      <c r="AQ54" s="27">
        <v>1</v>
      </c>
      <c r="AR54" s="7">
        <v>13</v>
      </c>
      <c r="AS54" s="26">
        <v>6</v>
      </c>
      <c r="AT54" s="23" t="s">
        <v>142</v>
      </c>
      <c r="AU54" s="43" t="s">
        <v>42</v>
      </c>
      <c r="AV54" s="23">
        <v>1</v>
      </c>
      <c r="AW54">
        <v>1</v>
      </c>
    </row>
    <row r="55" spans="1:49" x14ac:dyDescent="0.2">
      <c r="A55" s="34" t="s">
        <v>71</v>
      </c>
      <c r="B55" s="35" t="s">
        <v>47</v>
      </c>
      <c r="C55" s="35" t="s">
        <v>48</v>
      </c>
      <c r="D55" s="35" t="s">
        <v>46</v>
      </c>
      <c r="E55" s="35" t="s">
        <v>49</v>
      </c>
      <c r="F55" s="35" t="s">
        <v>45</v>
      </c>
      <c r="G55" s="35" t="s">
        <v>46</v>
      </c>
      <c r="H55" s="35" t="s">
        <v>45</v>
      </c>
      <c r="I55" s="35" t="s">
        <v>47</v>
      </c>
      <c r="J55" s="35" t="s">
        <v>45</v>
      </c>
      <c r="K55" s="35" t="s">
        <v>47</v>
      </c>
      <c r="L55" s="35" t="s">
        <v>48</v>
      </c>
      <c r="M55" s="35" t="s">
        <v>49</v>
      </c>
      <c r="N55" s="35" t="s">
        <v>49</v>
      </c>
      <c r="O55" s="35" t="s">
        <v>46</v>
      </c>
      <c r="P55" s="35" t="s">
        <v>48</v>
      </c>
      <c r="Q55" s="35" t="s">
        <v>47</v>
      </c>
      <c r="R55" s="35" t="s">
        <v>48</v>
      </c>
      <c r="S55" s="35" t="s">
        <v>46</v>
      </c>
      <c r="T55" s="35" t="s">
        <v>49</v>
      </c>
      <c r="U55" s="35" t="s">
        <v>48</v>
      </c>
      <c r="V55" s="34">
        <v>0</v>
      </c>
      <c r="W55" s="34">
        <v>0</v>
      </c>
      <c r="X55" s="34">
        <v>1</v>
      </c>
      <c r="Y55" s="34">
        <v>1</v>
      </c>
      <c r="Z55" s="34">
        <v>0</v>
      </c>
      <c r="AA55" s="34">
        <v>1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1</v>
      </c>
      <c r="AH55" s="34">
        <v>1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1</v>
      </c>
      <c r="AO55" s="34">
        <v>0</v>
      </c>
      <c r="AP55" s="36">
        <v>2.5</v>
      </c>
      <c r="AQ55" s="27">
        <v>2</v>
      </c>
      <c r="AR55" s="7">
        <v>14</v>
      </c>
      <c r="AS55" s="26">
        <v>22</v>
      </c>
      <c r="AT55" s="23" t="s">
        <v>142</v>
      </c>
      <c r="AU55" s="43" t="s">
        <v>42</v>
      </c>
      <c r="AV55" s="23">
        <v>1</v>
      </c>
      <c r="AW55">
        <v>1</v>
      </c>
    </row>
    <row r="56" spans="1:49" x14ac:dyDescent="0.2">
      <c r="A56" s="34" t="s">
        <v>72</v>
      </c>
      <c r="B56" s="35" t="s">
        <v>46</v>
      </c>
      <c r="C56" s="35" t="s">
        <v>48</v>
      </c>
      <c r="D56" s="35" t="s">
        <v>46</v>
      </c>
      <c r="E56" s="35" t="s">
        <v>49</v>
      </c>
      <c r="F56" s="35" t="s">
        <v>48</v>
      </c>
      <c r="G56" s="35" t="s">
        <v>47</v>
      </c>
      <c r="H56" s="35" t="s">
        <v>47</v>
      </c>
      <c r="I56" s="35" t="s">
        <v>47</v>
      </c>
      <c r="J56" s="35" t="s">
        <v>48</v>
      </c>
      <c r="K56" s="35" t="s">
        <v>46</v>
      </c>
      <c r="L56" s="35" t="s">
        <v>46</v>
      </c>
      <c r="M56" s="35" t="s">
        <v>49</v>
      </c>
      <c r="N56" s="35" t="s">
        <v>49</v>
      </c>
      <c r="O56" s="35" t="s">
        <v>46</v>
      </c>
      <c r="P56" s="35" t="s">
        <v>47</v>
      </c>
      <c r="Q56" s="35" t="s">
        <v>47</v>
      </c>
      <c r="R56" s="35" t="s">
        <v>45</v>
      </c>
      <c r="S56" s="35" t="s">
        <v>6</v>
      </c>
      <c r="T56" s="35" t="s">
        <v>49</v>
      </c>
      <c r="U56" s="35" t="s">
        <v>48</v>
      </c>
      <c r="V56" s="34">
        <v>0</v>
      </c>
      <c r="W56" s="34">
        <v>0</v>
      </c>
      <c r="X56" s="34">
        <v>1</v>
      </c>
      <c r="Y56" s="34">
        <v>1</v>
      </c>
      <c r="Z56" s="34">
        <v>0</v>
      </c>
      <c r="AA56" s="34">
        <v>0</v>
      </c>
      <c r="AB56" s="34">
        <v>1</v>
      </c>
      <c r="AC56" s="34">
        <v>0</v>
      </c>
      <c r="AD56" s="34">
        <v>0</v>
      </c>
      <c r="AE56" s="34">
        <v>0</v>
      </c>
      <c r="AF56" s="34">
        <v>0</v>
      </c>
      <c r="AG56" s="34">
        <v>1</v>
      </c>
      <c r="AH56" s="34">
        <v>1</v>
      </c>
      <c r="AI56" s="34">
        <v>0</v>
      </c>
      <c r="AJ56" s="34">
        <v>0</v>
      </c>
      <c r="AK56" s="34">
        <v>0</v>
      </c>
      <c r="AL56" s="34">
        <v>1</v>
      </c>
      <c r="AM56" s="34">
        <v>0</v>
      </c>
      <c r="AN56" s="34">
        <v>1</v>
      </c>
      <c r="AO56" s="34">
        <v>0</v>
      </c>
      <c r="AP56" s="36">
        <v>2.75</v>
      </c>
      <c r="AQ56" s="27">
        <v>2</v>
      </c>
      <c r="AR56" s="44">
        <v>15</v>
      </c>
      <c r="AS56" s="26">
        <v>18</v>
      </c>
      <c r="AT56" s="23" t="s">
        <v>142</v>
      </c>
      <c r="AU56" s="43" t="s">
        <v>42</v>
      </c>
      <c r="AV56" s="23">
        <v>4</v>
      </c>
      <c r="AW56">
        <v>1</v>
      </c>
    </row>
    <row r="57" spans="1:49" x14ac:dyDescent="0.2">
      <c r="A57" s="34" t="s">
        <v>73</v>
      </c>
      <c r="B57" s="35" t="s">
        <v>45</v>
      </c>
      <c r="C57" s="35" t="s">
        <v>45</v>
      </c>
      <c r="D57" s="35" t="s">
        <v>47</v>
      </c>
      <c r="E57" s="35" t="s">
        <v>49</v>
      </c>
      <c r="F57" s="35" t="s">
        <v>48</v>
      </c>
      <c r="G57" s="35" t="s">
        <v>45</v>
      </c>
      <c r="H57" s="35" t="s">
        <v>45</v>
      </c>
      <c r="I57" s="35" t="s">
        <v>48</v>
      </c>
      <c r="J57" s="35" t="s">
        <v>47</v>
      </c>
      <c r="K57" s="35" t="s">
        <v>48</v>
      </c>
      <c r="L57" s="35" t="s">
        <v>47</v>
      </c>
      <c r="M57" s="35" t="s">
        <v>49</v>
      </c>
      <c r="N57" s="35" t="s">
        <v>49</v>
      </c>
      <c r="O57" s="35" t="s">
        <v>45</v>
      </c>
      <c r="P57" s="35" t="s">
        <v>45</v>
      </c>
      <c r="Q57" s="35" t="s">
        <v>45</v>
      </c>
      <c r="R57" s="35" t="s">
        <v>46</v>
      </c>
      <c r="S57" s="35" t="s">
        <v>45</v>
      </c>
      <c r="T57" s="35" t="s">
        <v>49</v>
      </c>
      <c r="U57" s="35" t="s">
        <v>48</v>
      </c>
      <c r="V57" s="34">
        <v>1</v>
      </c>
      <c r="W57" s="34">
        <v>1</v>
      </c>
      <c r="X57" s="34">
        <v>0</v>
      </c>
      <c r="Y57" s="34">
        <v>1</v>
      </c>
      <c r="Z57" s="34">
        <v>0</v>
      </c>
      <c r="AA57" s="34">
        <v>0</v>
      </c>
      <c r="AB57" s="34">
        <v>0</v>
      </c>
      <c r="AC57" s="34">
        <v>1</v>
      </c>
      <c r="AD57" s="34">
        <v>1</v>
      </c>
      <c r="AE57" s="34">
        <v>0</v>
      </c>
      <c r="AF57" s="34">
        <v>0</v>
      </c>
      <c r="AG57" s="34">
        <v>1</v>
      </c>
      <c r="AH57" s="34">
        <v>1</v>
      </c>
      <c r="AI57" s="34">
        <v>0</v>
      </c>
      <c r="AJ57" s="34">
        <v>1</v>
      </c>
      <c r="AK57" s="34">
        <v>0</v>
      </c>
      <c r="AL57" s="34">
        <v>0</v>
      </c>
      <c r="AM57" s="34">
        <v>0</v>
      </c>
      <c r="AN57" s="34">
        <v>1</v>
      </c>
      <c r="AO57" s="34">
        <v>0</v>
      </c>
      <c r="AP57" s="36">
        <v>3.25</v>
      </c>
      <c r="AQ57" s="27">
        <v>3</v>
      </c>
      <c r="AR57" s="44">
        <v>16</v>
      </c>
      <c r="AS57" s="26">
        <v>23</v>
      </c>
      <c r="AT57" s="23" t="s">
        <v>142</v>
      </c>
      <c r="AU57" s="43" t="s">
        <v>42</v>
      </c>
      <c r="AV57" s="23">
        <v>4</v>
      </c>
      <c r="AW57">
        <v>1</v>
      </c>
    </row>
    <row r="58" spans="1:49" x14ac:dyDescent="0.2">
      <c r="A58" s="34" t="s">
        <v>74</v>
      </c>
      <c r="B58" s="35" t="s">
        <v>45</v>
      </c>
      <c r="C58" s="35" t="s">
        <v>47</v>
      </c>
      <c r="D58" s="35" t="s">
        <v>47</v>
      </c>
      <c r="E58" s="35" t="s">
        <v>49</v>
      </c>
      <c r="F58" s="35" t="s">
        <v>48</v>
      </c>
      <c r="G58" s="35" t="s">
        <v>48</v>
      </c>
      <c r="H58" s="35" t="s">
        <v>47</v>
      </c>
      <c r="I58" s="35" t="s">
        <v>47</v>
      </c>
      <c r="J58" s="35" t="s">
        <v>46</v>
      </c>
      <c r="K58" s="35" t="s">
        <v>46</v>
      </c>
      <c r="L58" s="35" t="s">
        <v>48</v>
      </c>
      <c r="M58" s="35" t="s">
        <v>49</v>
      </c>
      <c r="N58" s="35" t="s">
        <v>49</v>
      </c>
      <c r="O58" s="35" t="s">
        <v>45</v>
      </c>
      <c r="P58" s="35" t="s">
        <v>47</v>
      </c>
      <c r="Q58" s="35" t="s">
        <v>47</v>
      </c>
      <c r="R58" s="35" t="s">
        <v>46</v>
      </c>
      <c r="S58" s="35" t="s">
        <v>45</v>
      </c>
      <c r="T58" s="35" t="s">
        <v>49</v>
      </c>
      <c r="U58" s="35" t="s">
        <v>48</v>
      </c>
      <c r="V58" s="34">
        <v>1</v>
      </c>
      <c r="W58" s="34">
        <v>0</v>
      </c>
      <c r="X58" s="34">
        <v>0</v>
      </c>
      <c r="Y58" s="34">
        <v>1</v>
      </c>
      <c r="Z58" s="34">
        <v>0</v>
      </c>
      <c r="AA58" s="34">
        <v>0</v>
      </c>
      <c r="AB58" s="34">
        <v>1</v>
      </c>
      <c r="AC58" s="34">
        <v>0</v>
      </c>
      <c r="AD58" s="34">
        <v>0</v>
      </c>
      <c r="AE58" s="34">
        <v>0</v>
      </c>
      <c r="AF58" s="34">
        <v>0</v>
      </c>
      <c r="AG58" s="34">
        <v>1</v>
      </c>
      <c r="AH58" s="34">
        <v>1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1</v>
      </c>
      <c r="AO58" s="34">
        <v>0</v>
      </c>
      <c r="AP58" s="36">
        <v>2.5</v>
      </c>
      <c r="AQ58" s="27">
        <v>2</v>
      </c>
      <c r="AR58" s="7">
        <v>17</v>
      </c>
      <c r="AS58" s="26">
        <v>10</v>
      </c>
      <c r="AT58" s="23" t="s">
        <v>142</v>
      </c>
      <c r="AU58" s="43" t="s">
        <v>42</v>
      </c>
      <c r="AV58" s="23">
        <v>4</v>
      </c>
      <c r="AW58">
        <v>1</v>
      </c>
    </row>
    <row r="59" spans="1:49" x14ac:dyDescent="0.2">
      <c r="A59" s="34" t="s">
        <v>75</v>
      </c>
      <c r="B59" s="35" t="s">
        <v>47</v>
      </c>
      <c r="C59" s="35" t="s">
        <v>45</v>
      </c>
      <c r="D59" s="35" t="s">
        <v>48</v>
      </c>
      <c r="E59" s="35" t="s">
        <v>49</v>
      </c>
      <c r="F59" s="35" t="s">
        <v>46</v>
      </c>
      <c r="G59" s="35" t="s">
        <v>45</v>
      </c>
      <c r="H59" s="35" t="s">
        <v>45</v>
      </c>
      <c r="I59" s="35" t="s">
        <v>45</v>
      </c>
      <c r="J59" s="35" t="s">
        <v>45</v>
      </c>
      <c r="K59" s="35" t="s">
        <v>47</v>
      </c>
      <c r="L59" s="35" t="s">
        <v>46</v>
      </c>
      <c r="M59" s="35" t="s">
        <v>49</v>
      </c>
      <c r="N59" s="35" t="s">
        <v>49</v>
      </c>
      <c r="O59" s="35" t="s">
        <v>45</v>
      </c>
      <c r="P59" s="35" t="s">
        <v>45</v>
      </c>
      <c r="Q59" s="35" t="s">
        <v>47</v>
      </c>
      <c r="R59" s="35" t="s">
        <v>46</v>
      </c>
      <c r="S59" s="35" t="s">
        <v>45</v>
      </c>
      <c r="T59" s="35" t="s">
        <v>49</v>
      </c>
      <c r="U59" s="35" t="s">
        <v>48</v>
      </c>
      <c r="V59" s="34">
        <v>0</v>
      </c>
      <c r="W59" s="34">
        <v>1</v>
      </c>
      <c r="X59" s="34">
        <v>0</v>
      </c>
      <c r="Y59" s="34">
        <v>1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1</v>
      </c>
      <c r="AH59" s="34">
        <v>1</v>
      </c>
      <c r="AI59" s="34">
        <v>0</v>
      </c>
      <c r="AJ59" s="34">
        <v>1</v>
      </c>
      <c r="AK59" s="34">
        <v>0</v>
      </c>
      <c r="AL59" s="34">
        <v>0</v>
      </c>
      <c r="AM59" s="34">
        <v>0</v>
      </c>
      <c r="AN59" s="34">
        <v>1</v>
      </c>
      <c r="AO59" s="34">
        <v>0</v>
      </c>
      <c r="AP59" s="36">
        <v>2.5</v>
      </c>
      <c r="AQ59" s="27">
        <v>1</v>
      </c>
      <c r="AR59" s="44">
        <v>18</v>
      </c>
      <c r="AS59" s="26">
        <v>6</v>
      </c>
      <c r="AT59" s="23" t="s">
        <v>142</v>
      </c>
      <c r="AU59" s="43" t="s">
        <v>42</v>
      </c>
      <c r="AV59" s="23">
        <v>3</v>
      </c>
      <c r="AW59">
        <v>1</v>
      </c>
    </row>
    <row r="60" spans="1:49" x14ac:dyDescent="0.2">
      <c r="A60" s="34" t="s">
        <v>76</v>
      </c>
      <c r="B60" s="35" t="s">
        <v>45</v>
      </c>
      <c r="C60" s="35" t="s">
        <v>45</v>
      </c>
      <c r="D60" s="35" t="s">
        <v>48</v>
      </c>
      <c r="E60" s="35" t="s">
        <v>46</v>
      </c>
      <c r="F60" s="35" t="s">
        <v>47</v>
      </c>
      <c r="G60" s="35" t="s">
        <v>46</v>
      </c>
      <c r="H60" s="35" t="s">
        <v>48</v>
      </c>
      <c r="I60" s="35" t="s">
        <v>47</v>
      </c>
      <c r="J60" s="35" t="s">
        <v>47</v>
      </c>
      <c r="K60" s="35" t="s">
        <v>45</v>
      </c>
      <c r="L60" s="35" t="s">
        <v>46</v>
      </c>
      <c r="M60" s="35" t="s">
        <v>49</v>
      </c>
      <c r="N60" s="35" t="s">
        <v>49</v>
      </c>
      <c r="O60" s="35" t="s">
        <v>48</v>
      </c>
      <c r="P60" s="35" t="s">
        <v>46</v>
      </c>
      <c r="Q60" s="35" t="s">
        <v>46</v>
      </c>
      <c r="R60" s="35" t="s">
        <v>48</v>
      </c>
      <c r="S60" s="35" t="s">
        <v>45</v>
      </c>
      <c r="T60" s="35" t="s">
        <v>49</v>
      </c>
      <c r="U60" s="35" t="s">
        <v>48</v>
      </c>
      <c r="V60" s="34">
        <v>1</v>
      </c>
      <c r="W60" s="34">
        <v>1</v>
      </c>
      <c r="X60" s="34">
        <v>0</v>
      </c>
      <c r="Y60" s="34">
        <v>0</v>
      </c>
      <c r="Z60" s="34">
        <v>1</v>
      </c>
      <c r="AA60" s="34">
        <v>1</v>
      </c>
      <c r="AB60" s="34">
        <v>0</v>
      </c>
      <c r="AC60" s="34">
        <v>0</v>
      </c>
      <c r="AD60" s="34">
        <v>1</v>
      </c>
      <c r="AE60" s="34">
        <v>1</v>
      </c>
      <c r="AF60" s="34">
        <v>0</v>
      </c>
      <c r="AG60" s="34">
        <v>1</v>
      </c>
      <c r="AH60" s="34">
        <v>1</v>
      </c>
      <c r="AI60" s="34">
        <v>1</v>
      </c>
      <c r="AJ60" s="34">
        <v>0</v>
      </c>
      <c r="AK60" s="34">
        <v>1</v>
      </c>
      <c r="AL60" s="34">
        <v>0</v>
      </c>
      <c r="AM60" s="34">
        <v>0</v>
      </c>
      <c r="AN60" s="34">
        <v>1</v>
      </c>
      <c r="AO60" s="34">
        <v>0</v>
      </c>
      <c r="AP60" s="36">
        <v>3.75</v>
      </c>
      <c r="AQ60" s="27">
        <v>2</v>
      </c>
      <c r="AR60" s="44">
        <v>19</v>
      </c>
      <c r="AS60" s="26">
        <v>11</v>
      </c>
      <c r="AT60" s="23" t="s">
        <v>142</v>
      </c>
      <c r="AU60" s="43" t="s">
        <v>42</v>
      </c>
      <c r="AV60" s="23">
        <v>5</v>
      </c>
      <c r="AW60">
        <v>1</v>
      </c>
    </row>
    <row r="61" spans="1:49" x14ac:dyDescent="0.2">
      <c r="A61" s="34" t="s">
        <v>77</v>
      </c>
      <c r="B61" s="35" t="s">
        <v>47</v>
      </c>
      <c r="C61" s="35" t="s">
        <v>46</v>
      </c>
      <c r="D61" s="35" t="s">
        <v>45</v>
      </c>
      <c r="E61" s="35" t="s">
        <v>48</v>
      </c>
      <c r="F61" s="35" t="s">
        <v>45</v>
      </c>
      <c r="G61" s="35" t="s">
        <v>47</v>
      </c>
      <c r="H61" s="35" t="s">
        <v>48</v>
      </c>
      <c r="I61" s="35" t="s">
        <v>45</v>
      </c>
      <c r="J61" s="35" t="s">
        <v>45</v>
      </c>
      <c r="K61" s="35" t="s">
        <v>46</v>
      </c>
      <c r="L61" s="35" t="s">
        <v>45</v>
      </c>
      <c r="M61" s="35" t="s">
        <v>49</v>
      </c>
      <c r="N61" s="35" t="s">
        <v>49</v>
      </c>
      <c r="O61" s="35" t="s">
        <v>48</v>
      </c>
      <c r="P61" s="35" t="s">
        <v>47</v>
      </c>
      <c r="Q61" s="35" t="s">
        <v>45</v>
      </c>
      <c r="R61" s="35" t="s">
        <v>47</v>
      </c>
      <c r="S61" s="35" t="s">
        <v>6</v>
      </c>
      <c r="T61" s="35" t="s">
        <v>49</v>
      </c>
      <c r="U61" s="35" t="s">
        <v>48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1</v>
      </c>
      <c r="AG61" s="34">
        <v>1</v>
      </c>
      <c r="AH61" s="34">
        <v>1</v>
      </c>
      <c r="AI61" s="34">
        <v>1</v>
      </c>
      <c r="AJ61" s="34">
        <v>0</v>
      </c>
      <c r="AK61" s="34">
        <v>0</v>
      </c>
      <c r="AL61" s="34">
        <v>0</v>
      </c>
      <c r="AM61" s="34">
        <v>0</v>
      </c>
      <c r="AN61" s="34">
        <v>1</v>
      </c>
      <c r="AO61" s="34">
        <v>0</v>
      </c>
      <c r="AP61" s="36">
        <v>2.25</v>
      </c>
      <c r="AQ61" s="27">
        <v>3</v>
      </c>
      <c r="AR61" s="44">
        <v>20</v>
      </c>
      <c r="AS61" s="26">
        <v>13</v>
      </c>
      <c r="AT61" s="23" t="s">
        <v>142</v>
      </c>
      <c r="AU61" s="43" t="s">
        <v>42</v>
      </c>
      <c r="AV61" s="23">
        <v>2</v>
      </c>
      <c r="AW61">
        <v>1</v>
      </c>
    </row>
    <row r="62" spans="1:49" x14ac:dyDescent="0.2">
      <c r="A62" s="37" t="s">
        <v>109</v>
      </c>
      <c r="B62" s="38" t="s">
        <v>48</v>
      </c>
      <c r="C62" s="38" t="s">
        <v>45</v>
      </c>
      <c r="D62" s="38" t="s">
        <v>47</v>
      </c>
      <c r="E62" s="38" t="s">
        <v>45</v>
      </c>
      <c r="F62" s="38" t="s">
        <v>48</v>
      </c>
      <c r="G62" s="38" t="s">
        <v>48</v>
      </c>
      <c r="H62" s="38" t="s">
        <v>46</v>
      </c>
      <c r="I62" s="38" t="s">
        <v>47</v>
      </c>
      <c r="J62" s="38" t="s">
        <v>46</v>
      </c>
      <c r="K62" s="38" t="s">
        <v>45</v>
      </c>
      <c r="L62" s="38" t="s">
        <v>45</v>
      </c>
      <c r="M62" s="38" t="s">
        <v>46</v>
      </c>
      <c r="N62" s="38" t="s">
        <v>45</v>
      </c>
      <c r="O62" s="38" t="s">
        <v>48</v>
      </c>
      <c r="P62" s="38" t="s">
        <v>46</v>
      </c>
      <c r="Q62" s="38" t="s">
        <v>48</v>
      </c>
      <c r="R62" s="38" t="s">
        <v>47</v>
      </c>
      <c r="S62" s="38" t="s">
        <v>45</v>
      </c>
      <c r="T62" s="38" t="s">
        <v>48</v>
      </c>
      <c r="U62" s="38" t="s">
        <v>48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1</v>
      </c>
      <c r="AB62" s="37">
        <v>0</v>
      </c>
      <c r="AC62" s="37">
        <v>1</v>
      </c>
      <c r="AD62" s="37">
        <v>0</v>
      </c>
      <c r="AE62" s="37">
        <v>0</v>
      </c>
      <c r="AF62" s="37">
        <v>1</v>
      </c>
      <c r="AG62" s="37">
        <v>0</v>
      </c>
      <c r="AH62" s="37">
        <v>0</v>
      </c>
      <c r="AI62" s="37">
        <v>1</v>
      </c>
      <c r="AJ62" s="37">
        <v>0</v>
      </c>
      <c r="AK62" s="37">
        <v>1</v>
      </c>
      <c r="AL62" s="37">
        <v>0</v>
      </c>
      <c r="AM62" s="37">
        <v>1</v>
      </c>
      <c r="AN62" s="37">
        <v>0</v>
      </c>
      <c r="AO62" s="37">
        <v>1</v>
      </c>
      <c r="AP62" s="39">
        <v>2.75</v>
      </c>
      <c r="AQ62" s="27">
        <v>3</v>
      </c>
      <c r="AR62" s="7">
        <v>1</v>
      </c>
      <c r="AS62" s="26">
        <v>14</v>
      </c>
      <c r="AT62" s="43" t="s">
        <v>42</v>
      </c>
      <c r="AU62" t="s">
        <v>141</v>
      </c>
      <c r="AV62" s="46">
        <v>4</v>
      </c>
      <c r="AW62">
        <v>1</v>
      </c>
    </row>
    <row r="63" spans="1:49" x14ac:dyDescent="0.2">
      <c r="A63" s="37" t="s">
        <v>110</v>
      </c>
      <c r="B63" s="38" t="s">
        <v>47</v>
      </c>
      <c r="C63" s="38" t="s">
        <v>45</v>
      </c>
      <c r="D63" s="38" t="s">
        <v>48</v>
      </c>
      <c r="E63" s="38" t="s">
        <v>48</v>
      </c>
      <c r="F63" s="38" t="s">
        <v>46</v>
      </c>
      <c r="G63" s="38" t="s">
        <v>48</v>
      </c>
      <c r="H63" s="38" t="s">
        <v>46</v>
      </c>
      <c r="I63" s="38" t="s">
        <v>48</v>
      </c>
      <c r="J63" s="38" t="s">
        <v>46</v>
      </c>
      <c r="K63" s="38" t="s">
        <v>47</v>
      </c>
      <c r="L63" s="38" t="s">
        <v>45</v>
      </c>
      <c r="M63" s="38" t="s">
        <v>47</v>
      </c>
      <c r="N63" s="38" t="s">
        <v>48</v>
      </c>
      <c r="O63" s="38" t="s">
        <v>48</v>
      </c>
      <c r="P63" s="38" t="s">
        <v>46</v>
      </c>
      <c r="Q63" s="38" t="s">
        <v>46</v>
      </c>
      <c r="R63" s="38" t="s">
        <v>48</v>
      </c>
      <c r="S63" s="38" t="s">
        <v>48</v>
      </c>
      <c r="T63" s="38" t="s">
        <v>45</v>
      </c>
      <c r="U63" s="38" t="s">
        <v>45</v>
      </c>
      <c r="V63" s="37">
        <v>1</v>
      </c>
      <c r="W63" s="37">
        <v>0</v>
      </c>
      <c r="X63" s="37">
        <v>0</v>
      </c>
      <c r="Y63" s="37">
        <v>0</v>
      </c>
      <c r="Z63" s="37">
        <v>1</v>
      </c>
      <c r="AA63" s="37">
        <v>1</v>
      </c>
      <c r="AB63" s="37">
        <v>0</v>
      </c>
      <c r="AC63" s="37">
        <v>0</v>
      </c>
      <c r="AD63" s="37">
        <v>0</v>
      </c>
      <c r="AE63" s="37">
        <v>0</v>
      </c>
      <c r="AF63" s="37">
        <v>1</v>
      </c>
      <c r="AG63" s="37">
        <v>0</v>
      </c>
      <c r="AH63" s="37">
        <v>0</v>
      </c>
      <c r="AI63" s="37">
        <v>1</v>
      </c>
      <c r="AJ63" s="37">
        <v>0</v>
      </c>
      <c r="AK63" s="37">
        <v>0</v>
      </c>
      <c r="AL63" s="37">
        <v>0</v>
      </c>
      <c r="AM63" s="37">
        <v>0</v>
      </c>
      <c r="AN63" s="37">
        <v>1</v>
      </c>
      <c r="AO63" s="37">
        <v>0</v>
      </c>
      <c r="AP63" s="39">
        <v>2.5</v>
      </c>
      <c r="AQ63" s="27">
        <v>2</v>
      </c>
      <c r="AR63" s="7">
        <v>2</v>
      </c>
      <c r="AS63" s="26">
        <v>8</v>
      </c>
      <c r="AT63" s="43" t="s">
        <v>42</v>
      </c>
      <c r="AU63" t="s">
        <v>141</v>
      </c>
      <c r="AV63" s="46">
        <v>4</v>
      </c>
      <c r="AW63">
        <v>1</v>
      </c>
    </row>
    <row r="64" spans="1:49" x14ac:dyDescent="0.2">
      <c r="A64" s="37" t="s">
        <v>111</v>
      </c>
      <c r="B64" s="38" t="s">
        <v>47</v>
      </c>
      <c r="C64" s="38" t="s">
        <v>47</v>
      </c>
      <c r="D64" s="38" t="s">
        <v>46</v>
      </c>
      <c r="E64" s="38" t="s">
        <v>47</v>
      </c>
      <c r="F64" s="38" t="s">
        <v>46</v>
      </c>
      <c r="G64" s="38" t="s">
        <v>48</v>
      </c>
      <c r="H64" s="38" t="s">
        <v>47</v>
      </c>
      <c r="I64" s="38" t="s">
        <v>48</v>
      </c>
      <c r="J64" s="38" t="s">
        <v>46</v>
      </c>
      <c r="K64" s="38" t="s">
        <v>47</v>
      </c>
      <c r="L64" s="38" t="s">
        <v>45</v>
      </c>
      <c r="M64" s="38" t="s">
        <v>48</v>
      </c>
      <c r="N64" s="38" t="s">
        <v>48</v>
      </c>
      <c r="O64" s="38" t="s">
        <v>48</v>
      </c>
      <c r="P64" s="38" t="s">
        <v>45</v>
      </c>
      <c r="Q64" s="38" t="s">
        <v>48</v>
      </c>
      <c r="R64" s="38" t="s">
        <v>46</v>
      </c>
      <c r="S64" s="38" t="s">
        <v>46</v>
      </c>
      <c r="T64" s="38" t="s">
        <v>45</v>
      </c>
      <c r="U64" s="38" t="s">
        <v>48</v>
      </c>
      <c r="V64" s="37">
        <v>1</v>
      </c>
      <c r="W64" s="37">
        <v>1</v>
      </c>
      <c r="X64" s="37">
        <v>1</v>
      </c>
      <c r="Y64" s="37">
        <v>0</v>
      </c>
      <c r="Z64" s="37">
        <v>1</v>
      </c>
      <c r="AA64" s="37">
        <v>1</v>
      </c>
      <c r="AB64" s="37">
        <v>1</v>
      </c>
      <c r="AC64" s="37">
        <v>0</v>
      </c>
      <c r="AD64" s="37">
        <v>0</v>
      </c>
      <c r="AE64" s="37">
        <v>0</v>
      </c>
      <c r="AF64" s="37">
        <v>1</v>
      </c>
      <c r="AG64" s="37">
        <v>0</v>
      </c>
      <c r="AH64" s="37">
        <v>0</v>
      </c>
      <c r="AI64" s="37">
        <v>1</v>
      </c>
      <c r="AJ64" s="37">
        <v>1</v>
      </c>
      <c r="AK64" s="37">
        <v>1</v>
      </c>
      <c r="AL64" s="37">
        <v>1</v>
      </c>
      <c r="AM64" s="37">
        <v>0</v>
      </c>
      <c r="AN64" s="37">
        <v>1</v>
      </c>
      <c r="AO64" s="37">
        <v>1</v>
      </c>
      <c r="AP64" s="39">
        <v>4.25</v>
      </c>
      <c r="AQ64" s="27">
        <v>2</v>
      </c>
      <c r="AR64" s="7">
        <v>3</v>
      </c>
      <c r="AS64" s="26">
        <v>8</v>
      </c>
      <c r="AT64" s="43" t="s">
        <v>42</v>
      </c>
      <c r="AU64" t="s">
        <v>141</v>
      </c>
      <c r="AV64" s="46">
        <v>3</v>
      </c>
      <c r="AW64">
        <v>1</v>
      </c>
    </row>
    <row r="65" spans="1:49" x14ac:dyDescent="0.2">
      <c r="A65" s="37" t="s">
        <v>112</v>
      </c>
      <c r="B65" s="38" t="s">
        <v>47</v>
      </c>
      <c r="C65" s="38" t="s">
        <v>46</v>
      </c>
      <c r="D65" s="38" t="s">
        <v>46</v>
      </c>
      <c r="E65" s="38" t="s">
        <v>46</v>
      </c>
      <c r="F65" s="38" t="s">
        <v>48</v>
      </c>
      <c r="G65" s="38" t="s">
        <v>48</v>
      </c>
      <c r="H65" s="38" t="s">
        <v>47</v>
      </c>
      <c r="I65" s="38" t="s">
        <v>45</v>
      </c>
      <c r="J65" s="38" t="s">
        <v>46</v>
      </c>
      <c r="K65" s="38" t="s">
        <v>48</v>
      </c>
      <c r="L65" s="38" t="s">
        <v>45</v>
      </c>
      <c r="M65" s="38" t="s">
        <v>48</v>
      </c>
      <c r="N65" s="38" t="s">
        <v>48</v>
      </c>
      <c r="O65" s="38" t="s">
        <v>48</v>
      </c>
      <c r="P65" s="38" t="s">
        <v>45</v>
      </c>
      <c r="Q65" s="38" t="s">
        <v>48</v>
      </c>
      <c r="R65" s="38" t="s">
        <v>46</v>
      </c>
      <c r="S65" s="38" t="s">
        <v>48</v>
      </c>
      <c r="T65" s="38" t="s">
        <v>45</v>
      </c>
      <c r="U65" s="38" t="s">
        <v>48</v>
      </c>
      <c r="V65" s="37">
        <v>1</v>
      </c>
      <c r="W65" s="37">
        <v>0</v>
      </c>
      <c r="X65" s="37">
        <v>1</v>
      </c>
      <c r="Y65" s="37">
        <v>1</v>
      </c>
      <c r="Z65" s="37">
        <v>0</v>
      </c>
      <c r="AA65" s="37">
        <v>1</v>
      </c>
      <c r="AB65" s="37">
        <v>1</v>
      </c>
      <c r="AC65" s="37">
        <v>0</v>
      </c>
      <c r="AD65" s="37">
        <v>0</v>
      </c>
      <c r="AE65" s="37">
        <v>0</v>
      </c>
      <c r="AF65" s="37">
        <v>1</v>
      </c>
      <c r="AG65" s="37">
        <v>0</v>
      </c>
      <c r="AH65" s="37">
        <v>0</v>
      </c>
      <c r="AI65" s="37">
        <v>1</v>
      </c>
      <c r="AJ65" s="37">
        <v>1</v>
      </c>
      <c r="AK65" s="37">
        <v>1</v>
      </c>
      <c r="AL65" s="37">
        <v>1</v>
      </c>
      <c r="AM65" s="37">
        <v>0</v>
      </c>
      <c r="AN65" s="37">
        <v>1</v>
      </c>
      <c r="AO65" s="37">
        <v>1</v>
      </c>
      <c r="AP65" s="39">
        <v>4</v>
      </c>
      <c r="AQ65" s="27">
        <v>1</v>
      </c>
      <c r="AR65" s="7">
        <v>4</v>
      </c>
      <c r="AS65" s="26">
        <v>28</v>
      </c>
      <c r="AT65" s="43" t="s">
        <v>42</v>
      </c>
      <c r="AU65" t="s">
        <v>141</v>
      </c>
      <c r="AV65" s="46">
        <v>4</v>
      </c>
      <c r="AW65">
        <v>1</v>
      </c>
    </row>
    <row r="66" spans="1:49" x14ac:dyDescent="0.2">
      <c r="A66" s="37" t="s">
        <v>113</v>
      </c>
      <c r="B66" s="38" t="s">
        <v>47</v>
      </c>
      <c r="C66" s="38" t="s">
        <v>47</v>
      </c>
      <c r="D66" s="38" t="s">
        <v>48</v>
      </c>
      <c r="E66" s="38" t="s">
        <v>46</v>
      </c>
      <c r="F66" s="38" t="s">
        <v>46</v>
      </c>
      <c r="G66" s="38" t="s">
        <v>48</v>
      </c>
      <c r="H66" s="38" t="s">
        <v>47</v>
      </c>
      <c r="I66" s="38" t="s">
        <v>47</v>
      </c>
      <c r="J66" s="38" t="s">
        <v>46</v>
      </c>
      <c r="K66" s="38" t="s">
        <v>47</v>
      </c>
      <c r="L66" s="38" t="s">
        <v>45</v>
      </c>
      <c r="M66" s="38" t="s">
        <v>48</v>
      </c>
      <c r="N66" s="38" t="s">
        <v>48</v>
      </c>
      <c r="O66" s="38" t="s">
        <v>46</v>
      </c>
      <c r="P66" s="38" t="s">
        <v>45</v>
      </c>
      <c r="Q66" s="38" t="s">
        <v>48</v>
      </c>
      <c r="R66" s="38" t="s">
        <v>46</v>
      </c>
      <c r="S66" s="38" t="s">
        <v>48</v>
      </c>
      <c r="T66" s="38" t="s">
        <v>47</v>
      </c>
      <c r="U66" s="38" t="s">
        <v>46</v>
      </c>
      <c r="V66" s="37">
        <v>1</v>
      </c>
      <c r="W66" s="37">
        <v>1</v>
      </c>
      <c r="X66" s="37">
        <v>0</v>
      </c>
      <c r="Y66" s="37">
        <v>1</v>
      </c>
      <c r="Z66" s="37">
        <v>1</v>
      </c>
      <c r="AA66" s="37">
        <v>1</v>
      </c>
      <c r="AB66" s="37">
        <v>1</v>
      </c>
      <c r="AC66" s="37">
        <v>1</v>
      </c>
      <c r="AD66" s="37">
        <v>0</v>
      </c>
      <c r="AE66" s="37">
        <v>0</v>
      </c>
      <c r="AF66" s="37">
        <v>1</v>
      </c>
      <c r="AG66" s="37">
        <v>0</v>
      </c>
      <c r="AH66" s="37">
        <v>0</v>
      </c>
      <c r="AI66" s="37">
        <v>0</v>
      </c>
      <c r="AJ66" s="37">
        <v>1</v>
      </c>
      <c r="AK66" s="37">
        <v>1</v>
      </c>
      <c r="AL66" s="37">
        <v>1</v>
      </c>
      <c r="AM66" s="37">
        <v>0</v>
      </c>
      <c r="AN66" s="37">
        <v>0</v>
      </c>
      <c r="AO66" s="37">
        <v>0</v>
      </c>
      <c r="AP66" s="39">
        <v>3.75</v>
      </c>
      <c r="AQ66" s="27">
        <v>1</v>
      </c>
      <c r="AR66" s="7">
        <v>5</v>
      </c>
      <c r="AS66" s="26">
        <v>12</v>
      </c>
      <c r="AT66" s="43" t="s">
        <v>42</v>
      </c>
      <c r="AU66" t="s">
        <v>141</v>
      </c>
      <c r="AV66" s="46">
        <v>1</v>
      </c>
      <c r="AW66">
        <v>1</v>
      </c>
    </row>
    <row r="67" spans="1:49" x14ac:dyDescent="0.2">
      <c r="A67" s="37" t="s">
        <v>114</v>
      </c>
      <c r="B67" s="38" t="s">
        <v>47</v>
      </c>
      <c r="C67" s="38" t="s">
        <v>47</v>
      </c>
      <c r="D67" s="38" t="s">
        <v>47</v>
      </c>
      <c r="E67" s="38" t="s">
        <v>48</v>
      </c>
      <c r="F67" s="38" t="s">
        <v>46</v>
      </c>
      <c r="G67" s="38" t="s">
        <v>48</v>
      </c>
      <c r="H67" s="38" t="s">
        <v>48</v>
      </c>
      <c r="I67" s="38" t="s">
        <v>47</v>
      </c>
      <c r="J67" s="38" t="s">
        <v>47</v>
      </c>
      <c r="K67" s="38" t="s">
        <v>47</v>
      </c>
      <c r="L67" s="38" t="s">
        <v>47</v>
      </c>
      <c r="M67" s="38" t="s">
        <v>45</v>
      </c>
      <c r="N67" s="38" t="s">
        <v>47</v>
      </c>
      <c r="O67" s="38" t="s">
        <v>47</v>
      </c>
      <c r="P67" s="38" t="s">
        <v>46</v>
      </c>
      <c r="Q67" s="38" t="s">
        <v>46</v>
      </c>
      <c r="R67" s="38" t="s">
        <v>47</v>
      </c>
      <c r="S67" s="38" t="s">
        <v>45</v>
      </c>
      <c r="T67" s="38" t="s">
        <v>45</v>
      </c>
      <c r="U67" s="38" t="s">
        <v>48</v>
      </c>
      <c r="V67" s="37">
        <v>1</v>
      </c>
      <c r="W67" s="37">
        <v>1</v>
      </c>
      <c r="X67" s="37">
        <v>0</v>
      </c>
      <c r="Y67" s="37">
        <v>0</v>
      </c>
      <c r="Z67" s="37">
        <v>1</v>
      </c>
      <c r="AA67" s="37">
        <v>1</v>
      </c>
      <c r="AB67" s="37">
        <v>0</v>
      </c>
      <c r="AC67" s="37">
        <v>1</v>
      </c>
      <c r="AD67" s="37">
        <v>1</v>
      </c>
      <c r="AE67" s="37">
        <v>0</v>
      </c>
      <c r="AF67" s="37">
        <v>0</v>
      </c>
      <c r="AG67" s="37">
        <v>1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1</v>
      </c>
      <c r="AN67" s="37">
        <v>1</v>
      </c>
      <c r="AO67" s="37">
        <v>1</v>
      </c>
      <c r="AP67" s="39">
        <v>3.5</v>
      </c>
      <c r="AQ67" s="27">
        <v>2</v>
      </c>
      <c r="AR67" s="7">
        <v>6</v>
      </c>
      <c r="AS67" s="26">
        <v>9</v>
      </c>
      <c r="AT67" s="43" t="s">
        <v>42</v>
      </c>
      <c r="AU67" t="s">
        <v>141</v>
      </c>
      <c r="AV67" s="46">
        <v>1</v>
      </c>
      <c r="AW67">
        <v>1</v>
      </c>
    </row>
    <row r="68" spans="1:49" x14ac:dyDescent="0.2">
      <c r="A68" s="37" t="s">
        <v>115</v>
      </c>
      <c r="B68" s="38" t="s">
        <v>47</v>
      </c>
      <c r="C68" s="38" t="s">
        <v>6</v>
      </c>
      <c r="D68" s="38" t="s">
        <v>45</v>
      </c>
      <c r="E68" s="38" t="s">
        <v>6</v>
      </c>
      <c r="F68" s="38" t="s">
        <v>46</v>
      </c>
      <c r="G68" s="38" t="s">
        <v>48</v>
      </c>
      <c r="H68" s="38" t="s">
        <v>47</v>
      </c>
      <c r="I68" s="38" t="s">
        <v>45</v>
      </c>
      <c r="J68" s="38" t="s">
        <v>48</v>
      </c>
      <c r="K68" s="38" t="s">
        <v>47</v>
      </c>
      <c r="L68" s="38" t="s">
        <v>47</v>
      </c>
      <c r="M68" s="38" t="s">
        <v>48</v>
      </c>
      <c r="N68" s="38" t="s">
        <v>45</v>
      </c>
      <c r="O68" s="38" t="s">
        <v>48</v>
      </c>
      <c r="P68" s="38" t="s">
        <v>45</v>
      </c>
      <c r="Q68" s="38" t="s">
        <v>48</v>
      </c>
      <c r="R68" s="38" t="s">
        <v>46</v>
      </c>
      <c r="S68" s="38" t="s">
        <v>48</v>
      </c>
      <c r="T68" s="38" t="s">
        <v>47</v>
      </c>
      <c r="U68" s="38" t="s">
        <v>45</v>
      </c>
      <c r="V68" s="37">
        <v>1</v>
      </c>
      <c r="W68" s="37">
        <v>0</v>
      </c>
      <c r="X68" s="37">
        <v>0</v>
      </c>
      <c r="Y68" s="37">
        <v>0</v>
      </c>
      <c r="Z68" s="37">
        <v>1</v>
      </c>
      <c r="AA68" s="37">
        <v>1</v>
      </c>
      <c r="AB68" s="37">
        <v>1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1</v>
      </c>
      <c r="AJ68" s="37">
        <v>1</v>
      </c>
      <c r="AK68" s="37">
        <v>1</v>
      </c>
      <c r="AL68" s="37">
        <v>1</v>
      </c>
      <c r="AM68" s="37">
        <v>0</v>
      </c>
      <c r="AN68" s="37">
        <v>0</v>
      </c>
      <c r="AO68" s="37">
        <v>0</v>
      </c>
      <c r="AP68" s="39">
        <v>3</v>
      </c>
      <c r="AQ68" s="27">
        <v>1</v>
      </c>
      <c r="AR68" s="7">
        <v>7</v>
      </c>
      <c r="AS68" s="26">
        <v>8</v>
      </c>
      <c r="AT68" s="43" t="s">
        <v>42</v>
      </c>
      <c r="AU68" t="s">
        <v>141</v>
      </c>
      <c r="AV68" s="46">
        <v>1</v>
      </c>
      <c r="AW68">
        <v>1</v>
      </c>
    </row>
    <row r="69" spans="1:49" x14ac:dyDescent="0.2">
      <c r="A69" s="37" t="s">
        <v>116</v>
      </c>
      <c r="B69" s="38" t="s">
        <v>46</v>
      </c>
      <c r="C69" s="38" t="s">
        <v>45</v>
      </c>
      <c r="D69" s="38" t="s">
        <v>47</v>
      </c>
      <c r="E69" s="38" t="s">
        <v>47</v>
      </c>
      <c r="F69" s="38" t="s">
        <v>48</v>
      </c>
      <c r="G69" s="38" t="s">
        <v>48</v>
      </c>
      <c r="H69" s="38" t="s">
        <v>47</v>
      </c>
      <c r="I69" s="38" t="s">
        <v>45</v>
      </c>
      <c r="J69" s="38" t="s">
        <v>46</v>
      </c>
      <c r="K69" s="38" t="s">
        <v>47</v>
      </c>
      <c r="L69" s="38" t="s">
        <v>45</v>
      </c>
      <c r="M69" s="38" t="s">
        <v>47</v>
      </c>
      <c r="N69" s="38" t="s">
        <v>45</v>
      </c>
      <c r="O69" s="38" t="s">
        <v>48</v>
      </c>
      <c r="P69" s="38" t="s">
        <v>45</v>
      </c>
      <c r="Q69" s="38" t="s">
        <v>48</v>
      </c>
      <c r="R69" s="38" t="s">
        <v>47</v>
      </c>
      <c r="S69" s="38" t="s">
        <v>46</v>
      </c>
      <c r="T69" s="38" t="s">
        <v>47</v>
      </c>
      <c r="U69" s="38" t="s">
        <v>48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1</v>
      </c>
      <c r="AB69" s="37">
        <v>1</v>
      </c>
      <c r="AC69" s="37">
        <v>0</v>
      </c>
      <c r="AD69" s="37">
        <v>0</v>
      </c>
      <c r="AE69" s="37">
        <v>0</v>
      </c>
      <c r="AF69" s="37">
        <v>1</v>
      </c>
      <c r="AG69" s="37">
        <v>0</v>
      </c>
      <c r="AH69" s="37">
        <v>0</v>
      </c>
      <c r="AI69" s="37">
        <v>1</v>
      </c>
      <c r="AJ69" s="37">
        <v>1</v>
      </c>
      <c r="AK69" s="37">
        <v>1</v>
      </c>
      <c r="AL69" s="37">
        <v>0</v>
      </c>
      <c r="AM69" s="37">
        <v>0</v>
      </c>
      <c r="AN69" s="37">
        <v>0</v>
      </c>
      <c r="AO69" s="37">
        <v>1</v>
      </c>
      <c r="AP69" s="39">
        <v>2.75</v>
      </c>
      <c r="AQ69" s="27">
        <v>3</v>
      </c>
      <c r="AR69" s="7">
        <v>8</v>
      </c>
      <c r="AS69" s="26">
        <v>7</v>
      </c>
      <c r="AT69" s="43" t="s">
        <v>42</v>
      </c>
      <c r="AU69" t="s">
        <v>141</v>
      </c>
      <c r="AV69" s="46">
        <v>2</v>
      </c>
      <c r="AW69">
        <v>1</v>
      </c>
    </row>
    <row r="70" spans="1:49" x14ac:dyDescent="0.2">
      <c r="A70" s="37" t="s">
        <v>117</v>
      </c>
      <c r="B70" s="38" t="s">
        <v>47</v>
      </c>
      <c r="C70" s="38" t="s">
        <v>45</v>
      </c>
      <c r="D70" s="38" t="s">
        <v>48</v>
      </c>
      <c r="E70" s="38" t="s">
        <v>46</v>
      </c>
      <c r="F70" s="38" t="s">
        <v>46</v>
      </c>
      <c r="G70" s="38" t="s">
        <v>45</v>
      </c>
      <c r="H70" s="38" t="s">
        <v>47</v>
      </c>
      <c r="I70" s="38" t="s">
        <v>47</v>
      </c>
      <c r="J70" s="38" t="s">
        <v>45</v>
      </c>
      <c r="K70" s="38" t="s">
        <v>48</v>
      </c>
      <c r="L70" s="38" t="s">
        <v>45</v>
      </c>
      <c r="M70" s="38" t="s">
        <v>47</v>
      </c>
      <c r="N70" s="38" t="s">
        <v>45</v>
      </c>
      <c r="O70" s="38" t="s">
        <v>48</v>
      </c>
      <c r="P70" s="38" t="s">
        <v>45</v>
      </c>
      <c r="Q70" s="38" t="s">
        <v>47</v>
      </c>
      <c r="R70" s="38" t="s">
        <v>45</v>
      </c>
      <c r="S70" s="38" t="s">
        <v>46</v>
      </c>
      <c r="T70" s="38" t="s">
        <v>48</v>
      </c>
      <c r="U70" s="38" t="s">
        <v>45</v>
      </c>
      <c r="V70" s="37">
        <v>1</v>
      </c>
      <c r="W70" s="37">
        <v>0</v>
      </c>
      <c r="X70" s="37">
        <v>0</v>
      </c>
      <c r="Y70" s="37">
        <v>1</v>
      </c>
      <c r="Z70" s="37">
        <v>1</v>
      </c>
      <c r="AA70" s="37">
        <v>0</v>
      </c>
      <c r="AB70" s="37">
        <v>1</v>
      </c>
      <c r="AC70" s="37">
        <v>1</v>
      </c>
      <c r="AD70" s="37">
        <v>0</v>
      </c>
      <c r="AE70" s="37">
        <v>0</v>
      </c>
      <c r="AF70" s="37">
        <v>1</v>
      </c>
      <c r="AG70" s="37">
        <v>0</v>
      </c>
      <c r="AH70" s="37">
        <v>0</v>
      </c>
      <c r="AI70" s="37">
        <v>1</v>
      </c>
      <c r="AJ70" s="37">
        <v>1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9">
        <v>3</v>
      </c>
      <c r="AQ70" s="27">
        <v>1</v>
      </c>
      <c r="AR70" s="7">
        <v>9</v>
      </c>
      <c r="AS70" s="26">
        <v>8</v>
      </c>
      <c r="AT70" s="43" t="s">
        <v>42</v>
      </c>
      <c r="AU70" t="s">
        <v>141</v>
      </c>
      <c r="AV70" s="46">
        <v>1</v>
      </c>
      <c r="AW70">
        <v>1</v>
      </c>
    </row>
    <row r="71" spans="1:49" x14ac:dyDescent="0.2">
      <c r="A71" s="37" t="s">
        <v>118</v>
      </c>
      <c r="B71" s="38" t="s">
        <v>47</v>
      </c>
      <c r="C71" s="38" t="s">
        <v>47</v>
      </c>
      <c r="D71" s="38" t="s">
        <v>48</v>
      </c>
      <c r="E71" s="38" t="s">
        <v>48</v>
      </c>
      <c r="F71" s="38" t="s">
        <v>47</v>
      </c>
      <c r="G71" s="38" t="s">
        <v>47</v>
      </c>
      <c r="H71" s="38" t="s">
        <v>47</v>
      </c>
      <c r="I71" s="38" t="s">
        <v>46</v>
      </c>
      <c r="J71" s="38" t="s">
        <v>46</v>
      </c>
      <c r="K71" s="38" t="s">
        <v>47</v>
      </c>
      <c r="L71" s="38" t="s">
        <v>48</v>
      </c>
      <c r="M71" s="38" t="s">
        <v>46</v>
      </c>
      <c r="N71" s="38" t="s">
        <v>46</v>
      </c>
      <c r="O71" s="38" t="s">
        <v>48</v>
      </c>
      <c r="P71" s="38" t="s">
        <v>45</v>
      </c>
      <c r="Q71" s="38" t="s">
        <v>48</v>
      </c>
      <c r="R71" s="38" t="s">
        <v>48</v>
      </c>
      <c r="S71" s="38" t="s">
        <v>48</v>
      </c>
      <c r="T71" s="38" t="s">
        <v>46</v>
      </c>
      <c r="U71" s="38" t="s">
        <v>48</v>
      </c>
      <c r="V71" s="37">
        <v>1</v>
      </c>
      <c r="W71" s="37">
        <v>1</v>
      </c>
      <c r="X71" s="37">
        <v>0</v>
      </c>
      <c r="Y71" s="37">
        <v>0</v>
      </c>
      <c r="Z71" s="37">
        <v>0</v>
      </c>
      <c r="AA71" s="37">
        <v>0</v>
      </c>
      <c r="AB71" s="37">
        <v>1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1</v>
      </c>
      <c r="AI71" s="37">
        <v>1</v>
      </c>
      <c r="AJ71" s="37">
        <v>1</v>
      </c>
      <c r="AK71" s="37">
        <v>1</v>
      </c>
      <c r="AL71" s="37">
        <v>0</v>
      </c>
      <c r="AM71" s="37">
        <v>0</v>
      </c>
      <c r="AN71" s="37">
        <v>0</v>
      </c>
      <c r="AO71" s="37">
        <v>1</v>
      </c>
      <c r="AP71" s="39">
        <v>3</v>
      </c>
      <c r="AQ71" s="27">
        <v>3</v>
      </c>
      <c r="AR71" s="7">
        <v>10</v>
      </c>
      <c r="AS71" s="26">
        <v>4</v>
      </c>
      <c r="AT71" s="43" t="s">
        <v>42</v>
      </c>
      <c r="AU71" t="s">
        <v>141</v>
      </c>
      <c r="AV71" s="46">
        <v>1</v>
      </c>
      <c r="AW71">
        <v>1</v>
      </c>
    </row>
    <row r="72" spans="1:49" x14ac:dyDescent="0.2">
      <c r="A72" s="37" t="s">
        <v>119</v>
      </c>
      <c r="B72" s="38" t="s">
        <v>45</v>
      </c>
      <c r="C72" s="38" t="s">
        <v>48</v>
      </c>
      <c r="D72" s="38" t="s">
        <v>47</v>
      </c>
      <c r="E72" s="38" t="s">
        <v>48</v>
      </c>
      <c r="F72" s="38" t="s">
        <v>46</v>
      </c>
      <c r="G72" s="38" t="s">
        <v>48</v>
      </c>
      <c r="H72" s="38" t="s">
        <v>46</v>
      </c>
      <c r="I72" s="38" t="s">
        <v>46</v>
      </c>
      <c r="J72" s="38" t="s">
        <v>48</v>
      </c>
      <c r="K72" s="38" t="s">
        <v>47</v>
      </c>
      <c r="L72" s="38" t="s">
        <v>48</v>
      </c>
      <c r="M72" s="38" t="s">
        <v>48</v>
      </c>
      <c r="N72" s="38" t="s">
        <v>45</v>
      </c>
      <c r="O72" s="38" t="s">
        <v>45</v>
      </c>
      <c r="P72" s="38" t="s">
        <v>47</v>
      </c>
      <c r="Q72" s="38" t="s">
        <v>48</v>
      </c>
      <c r="R72" s="38" t="s">
        <v>47</v>
      </c>
      <c r="S72" s="38" t="s">
        <v>45</v>
      </c>
      <c r="T72" s="38" t="s">
        <v>46</v>
      </c>
      <c r="U72" s="38" t="s">
        <v>48</v>
      </c>
      <c r="V72" s="37">
        <v>0</v>
      </c>
      <c r="W72" s="37">
        <v>0</v>
      </c>
      <c r="X72" s="37">
        <v>0</v>
      </c>
      <c r="Y72" s="37">
        <v>0</v>
      </c>
      <c r="Z72" s="37">
        <v>1</v>
      </c>
      <c r="AA72" s="37">
        <v>1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1</v>
      </c>
      <c r="AL72" s="37">
        <v>0</v>
      </c>
      <c r="AM72" s="37">
        <v>1</v>
      </c>
      <c r="AN72" s="37">
        <v>0</v>
      </c>
      <c r="AO72" s="37">
        <v>1</v>
      </c>
      <c r="AP72" s="39">
        <v>2.25</v>
      </c>
      <c r="AQ72" s="27">
        <v>3</v>
      </c>
      <c r="AR72" s="7">
        <v>11</v>
      </c>
      <c r="AS72" s="26">
        <v>8</v>
      </c>
      <c r="AT72" s="43" t="s">
        <v>42</v>
      </c>
      <c r="AU72" t="s">
        <v>141</v>
      </c>
      <c r="AV72" s="46">
        <v>4</v>
      </c>
      <c r="AW72">
        <v>1</v>
      </c>
    </row>
    <row r="73" spans="1:49" x14ac:dyDescent="0.2">
      <c r="A73" s="37" t="s">
        <v>120</v>
      </c>
      <c r="B73" s="38" t="s">
        <v>47</v>
      </c>
      <c r="C73" s="38" t="s">
        <v>47</v>
      </c>
      <c r="D73" s="38" t="s">
        <v>46</v>
      </c>
      <c r="E73" s="38" t="s">
        <v>48</v>
      </c>
      <c r="F73" s="38" t="s">
        <v>47</v>
      </c>
      <c r="G73" s="38" t="s">
        <v>48</v>
      </c>
      <c r="H73" s="38" t="s">
        <v>48</v>
      </c>
      <c r="I73" s="38" t="s">
        <v>45</v>
      </c>
      <c r="J73" s="38" t="s">
        <v>47</v>
      </c>
      <c r="K73" s="38" t="s">
        <v>46</v>
      </c>
      <c r="L73" s="38" t="s">
        <v>45</v>
      </c>
      <c r="M73" s="38" t="s">
        <v>48</v>
      </c>
      <c r="N73" s="38" t="s">
        <v>46</v>
      </c>
      <c r="O73" s="38" t="s">
        <v>48</v>
      </c>
      <c r="P73" s="38" t="s">
        <v>45</v>
      </c>
      <c r="Q73" s="38" t="s">
        <v>48</v>
      </c>
      <c r="R73" s="38" t="s">
        <v>48</v>
      </c>
      <c r="S73" s="38" t="s">
        <v>48</v>
      </c>
      <c r="T73" s="38" t="s">
        <v>46</v>
      </c>
      <c r="U73" s="38" t="s">
        <v>48</v>
      </c>
      <c r="V73" s="37">
        <v>1</v>
      </c>
      <c r="W73" s="37">
        <v>1</v>
      </c>
      <c r="X73" s="37">
        <v>1</v>
      </c>
      <c r="Y73" s="37">
        <v>0</v>
      </c>
      <c r="Z73" s="37">
        <v>0</v>
      </c>
      <c r="AA73" s="37">
        <v>1</v>
      </c>
      <c r="AB73" s="37">
        <v>0</v>
      </c>
      <c r="AC73" s="37">
        <v>0</v>
      </c>
      <c r="AD73" s="37">
        <v>1</v>
      </c>
      <c r="AE73" s="37">
        <v>1</v>
      </c>
      <c r="AF73" s="37">
        <v>1</v>
      </c>
      <c r="AG73" s="37">
        <v>0</v>
      </c>
      <c r="AH73" s="37">
        <v>1</v>
      </c>
      <c r="AI73" s="37">
        <v>1</v>
      </c>
      <c r="AJ73" s="37">
        <v>1</v>
      </c>
      <c r="AK73" s="37">
        <v>1</v>
      </c>
      <c r="AL73" s="37">
        <v>0</v>
      </c>
      <c r="AM73" s="37">
        <v>0</v>
      </c>
      <c r="AN73" s="37">
        <v>0</v>
      </c>
      <c r="AO73" s="37">
        <v>1</v>
      </c>
      <c r="AP73" s="39">
        <v>4</v>
      </c>
      <c r="AQ73" s="27">
        <v>1</v>
      </c>
      <c r="AR73" s="7">
        <v>12</v>
      </c>
      <c r="AS73" s="26">
        <v>29</v>
      </c>
      <c r="AT73" s="43" t="s">
        <v>42</v>
      </c>
      <c r="AU73" t="s">
        <v>141</v>
      </c>
      <c r="AV73" s="46">
        <v>4</v>
      </c>
      <c r="AW73">
        <v>1</v>
      </c>
    </row>
    <row r="74" spans="1:49" x14ac:dyDescent="0.2">
      <c r="A74" s="37" t="s">
        <v>121</v>
      </c>
      <c r="B74" s="38" t="s">
        <v>47</v>
      </c>
      <c r="C74" s="38" t="s">
        <v>46</v>
      </c>
      <c r="D74" s="38" t="s">
        <v>47</v>
      </c>
      <c r="E74" s="38" t="s">
        <v>46</v>
      </c>
      <c r="F74" s="38" t="s">
        <v>48</v>
      </c>
      <c r="G74" s="38" t="s">
        <v>47</v>
      </c>
      <c r="H74" s="38" t="s">
        <v>45</v>
      </c>
      <c r="I74" s="38" t="s">
        <v>46</v>
      </c>
      <c r="J74" s="38" t="s">
        <v>45</v>
      </c>
      <c r="K74" s="38" t="s">
        <v>47</v>
      </c>
      <c r="L74" s="38" t="s">
        <v>48</v>
      </c>
      <c r="M74" s="38" t="s">
        <v>46</v>
      </c>
      <c r="N74" s="38" t="s">
        <v>47</v>
      </c>
      <c r="O74" s="38" t="s">
        <v>46</v>
      </c>
      <c r="P74" s="38" t="s">
        <v>6</v>
      </c>
      <c r="Q74" s="38" t="s">
        <v>47</v>
      </c>
      <c r="R74" s="38" t="s">
        <v>46</v>
      </c>
      <c r="S74" s="38" t="s">
        <v>45</v>
      </c>
      <c r="T74" s="38" t="s">
        <v>48</v>
      </c>
      <c r="U74" s="38" t="s">
        <v>47</v>
      </c>
      <c r="V74" s="37">
        <v>1</v>
      </c>
      <c r="W74" s="37">
        <v>0</v>
      </c>
      <c r="X74" s="37">
        <v>0</v>
      </c>
      <c r="Y74" s="37">
        <v>1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1</v>
      </c>
      <c r="AM74" s="37">
        <v>1</v>
      </c>
      <c r="AN74" s="37">
        <v>0</v>
      </c>
      <c r="AO74" s="37">
        <v>0</v>
      </c>
      <c r="AP74" s="39">
        <v>2</v>
      </c>
      <c r="AQ74" s="27">
        <v>1</v>
      </c>
      <c r="AR74" s="7">
        <v>13</v>
      </c>
      <c r="AS74" s="26">
        <v>29</v>
      </c>
      <c r="AT74" s="43" t="s">
        <v>42</v>
      </c>
      <c r="AU74" t="s">
        <v>141</v>
      </c>
      <c r="AV74" s="46">
        <v>3</v>
      </c>
      <c r="AW74">
        <v>1</v>
      </c>
    </row>
    <row r="75" spans="1:49" x14ac:dyDescent="0.2">
      <c r="A75" s="37" t="s">
        <v>122</v>
      </c>
      <c r="B75" s="38" t="s">
        <v>47</v>
      </c>
      <c r="C75" s="38" t="s">
        <v>45</v>
      </c>
      <c r="D75" s="38" t="s">
        <v>48</v>
      </c>
      <c r="E75" s="38" t="s">
        <v>47</v>
      </c>
      <c r="F75" s="38" t="s">
        <v>46</v>
      </c>
      <c r="G75" s="38" t="s">
        <v>48</v>
      </c>
      <c r="H75" s="38" t="s">
        <v>46</v>
      </c>
      <c r="I75" s="38" t="s">
        <v>45</v>
      </c>
      <c r="J75" s="38" t="s">
        <v>46</v>
      </c>
      <c r="K75" s="38" t="s">
        <v>47</v>
      </c>
      <c r="L75" s="38" t="s">
        <v>47</v>
      </c>
      <c r="M75" s="38" t="s">
        <v>46</v>
      </c>
      <c r="N75" s="38" t="s">
        <v>45</v>
      </c>
      <c r="O75" s="38" t="s">
        <v>48</v>
      </c>
      <c r="P75" s="38" t="s">
        <v>45</v>
      </c>
      <c r="Q75" s="38" t="s">
        <v>46</v>
      </c>
      <c r="R75" s="38" t="s">
        <v>45</v>
      </c>
      <c r="S75" s="38" t="s">
        <v>47</v>
      </c>
      <c r="T75" s="38" t="s">
        <v>48</v>
      </c>
      <c r="U75" s="38" t="s">
        <v>46</v>
      </c>
      <c r="V75" s="37">
        <v>1</v>
      </c>
      <c r="W75" s="37">
        <v>0</v>
      </c>
      <c r="X75" s="37">
        <v>0</v>
      </c>
      <c r="Y75" s="37">
        <v>0</v>
      </c>
      <c r="Z75" s="37">
        <v>1</v>
      </c>
      <c r="AA75" s="37">
        <v>1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1</v>
      </c>
      <c r="AJ75" s="37">
        <v>1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9">
        <v>2.25</v>
      </c>
      <c r="AQ75" s="27">
        <v>2</v>
      </c>
      <c r="AR75" s="7">
        <v>14</v>
      </c>
      <c r="AS75" s="26">
        <v>1</v>
      </c>
      <c r="AT75" s="43" t="s">
        <v>42</v>
      </c>
      <c r="AU75" t="s">
        <v>141</v>
      </c>
      <c r="AV75" s="46">
        <v>2</v>
      </c>
      <c r="AW75">
        <v>1</v>
      </c>
    </row>
    <row r="76" spans="1:49" x14ac:dyDescent="0.2">
      <c r="A76" s="37" t="s">
        <v>123</v>
      </c>
      <c r="B76" s="38" t="s">
        <v>47</v>
      </c>
      <c r="C76" s="38" t="s">
        <v>45</v>
      </c>
      <c r="D76" s="38" t="s">
        <v>47</v>
      </c>
      <c r="E76" s="38" t="s">
        <v>47</v>
      </c>
      <c r="F76" s="38" t="s">
        <v>46</v>
      </c>
      <c r="G76" s="38" t="s">
        <v>48</v>
      </c>
      <c r="H76" s="38" t="s">
        <v>46</v>
      </c>
      <c r="I76" s="38" t="s">
        <v>45</v>
      </c>
      <c r="J76" s="38" t="s">
        <v>45</v>
      </c>
      <c r="K76" s="38" t="s">
        <v>45</v>
      </c>
      <c r="L76" s="38" t="s">
        <v>45</v>
      </c>
      <c r="M76" s="38" t="s">
        <v>48</v>
      </c>
      <c r="N76" s="38" t="s">
        <v>47</v>
      </c>
      <c r="O76" s="38" t="s">
        <v>48</v>
      </c>
      <c r="P76" s="38" t="s">
        <v>46</v>
      </c>
      <c r="Q76" s="38" t="s">
        <v>48</v>
      </c>
      <c r="R76" s="38" t="s">
        <v>48</v>
      </c>
      <c r="S76" s="38" t="s">
        <v>45</v>
      </c>
      <c r="T76" s="38" t="s">
        <v>46</v>
      </c>
      <c r="U76" s="38" t="s">
        <v>47</v>
      </c>
      <c r="V76" s="37">
        <v>1</v>
      </c>
      <c r="W76" s="37">
        <v>0</v>
      </c>
      <c r="X76" s="37">
        <v>0</v>
      </c>
      <c r="Y76" s="37">
        <v>0</v>
      </c>
      <c r="Z76" s="37">
        <v>1</v>
      </c>
      <c r="AA76" s="37">
        <v>1</v>
      </c>
      <c r="AB76" s="37">
        <v>0</v>
      </c>
      <c r="AC76" s="37">
        <v>0</v>
      </c>
      <c r="AD76" s="37">
        <v>0</v>
      </c>
      <c r="AE76" s="37">
        <v>0</v>
      </c>
      <c r="AF76" s="37">
        <v>1</v>
      </c>
      <c r="AG76" s="37">
        <v>0</v>
      </c>
      <c r="AH76" s="37">
        <v>0</v>
      </c>
      <c r="AI76" s="37">
        <v>1</v>
      </c>
      <c r="AJ76" s="37">
        <v>0</v>
      </c>
      <c r="AK76" s="37">
        <v>1</v>
      </c>
      <c r="AL76" s="37">
        <v>0</v>
      </c>
      <c r="AM76" s="37">
        <v>1</v>
      </c>
      <c r="AN76" s="37">
        <v>0</v>
      </c>
      <c r="AO76" s="37">
        <v>0</v>
      </c>
      <c r="AP76" s="39">
        <v>2.75</v>
      </c>
      <c r="AQ76" s="27">
        <v>2</v>
      </c>
      <c r="AR76" s="7">
        <v>15</v>
      </c>
      <c r="AS76" s="26">
        <v>13</v>
      </c>
      <c r="AT76" s="43" t="s">
        <v>42</v>
      </c>
      <c r="AU76" t="s">
        <v>141</v>
      </c>
      <c r="AV76" s="46">
        <v>5</v>
      </c>
      <c r="AW76">
        <v>1</v>
      </c>
    </row>
    <row r="77" spans="1:49" x14ac:dyDescent="0.2">
      <c r="A77" s="37" t="s">
        <v>124</v>
      </c>
      <c r="B77" s="38" t="s">
        <v>47</v>
      </c>
      <c r="C77" s="38" t="s">
        <v>47</v>
      </c>
      <c r="D77" s="38" t="s">
        <v>46</v>
      </c>
      <c r="E77" s="38" t="s">
        <v>48</v>
      </c>
      <c r="F77" s="38" t="s">
        <v>47</v>
      </c>
      <c r="G77" s="38" t="s">
        <v>48</v>
      </c>
      <c r="H77" s="38" t="s">
        <v>47</v>
      </c>
      <c r="I77" s="38" t="s">
        <v>45</v>
      </c>
      <c r="J77" s="38" t="s">
        <v>48</v>
      </c>
      <c r="K77" s="38" t="s">
        <v>47</v>
      </c>
      <c r="L77" s="38" t="s">
        <v>45</v>
      </c>
      <c r="M77" s="38" t="s">
        <v>48</v>
      </c>
      <c r="N77" s="38" t="s">
        <v>46</v>
      </c>
      <c r="O77" s="38" t="s">
        <v>48</v>
      </c>
      <c r="P77" s="38" t="s">
        <v>45</v>
      </c>
      <c r="Q77" s="38" t="s">
        <v>48</v>
      </c>
      <c r="R77" s="38" t="s">
        <v>46</v>
      </c>
      <c r="S77" s="38" t="s">
        <v>48</v>
      </c>
      <c r="T77" s="38" t="s">
        <v>48</v>
      </c>
      <c r="U77" s="38" t="s">
        <v>45</v>
      </c>
      <c r="V77" s="37">
        <v>1</v>
      </c>
      <c r="W77" s="37">
        <v>1</v>
      </c>
      <c r="X77" s="37">
        <v>1</v>
      </c>
      <c r="Y77" s="37">
        <v>0</v>
      </c>
      <c r="Z77" s="37">
        <v>0</v>
      </c>
      <c r="AA77" s="37">
        <v>1</v>
      </c>
      <c r="AB77" s="37">
        <v>1</v>
      </c>
      <c r="AC77" s="37">
        <v>0</v>
      </c>
      <c r="AD77" s="37">
        <v>0</v>
      </c>
      <c r="AE77" s="37">
        <v>0</v>
      </c>
      <c r="AF77" s="37">
        <v>1</v>
      </c>
      <c r="AG77" s="37">
        <v>0</v>
      </c>
      <c r="AH77" s="37">
        <v>1</v>
      </c>
      <c r="AI77" s="37">
        <v>1</v>
      </c>
      <c r="AJ77" s="37">
        <v>1</v>
      </c>
      <c r="AK77" s="37">
        <v>1</v>
      </c>
      <c r="AL77" s="37">
        <v>1</v>
      </c>
      <c r="AM77" s="37">
        <v>0</v>
      </c>
      <c r="AN77" s="37">
        <v>0</v>
      </c>
      <c r="AO77" s="37">
        <v>0</v>
      </c>
      <c r="AP77" s="39">
        <v>3.75</v>
      </c>
      <c r="AQ77" s="27">
        <v>3</v>
      </c>
      <c r="AR77" s="7">
        <v>16</v>
      </c>
      <c r="AS77" s="26">
        <v>6</v>
      </c>
      <c r="AT77" s="43" t="s">
        <v>42</v>
      </c>
      <c r="AU77" t="s">
        <v>141</v>
      </c>
      <c r="AV77" s="46">
        <v>5</v>
      </c>
      <c r="AW77">
        <v>1</v>
      </c>
    </row>
    <row r="78" spans="1:49" x14ac:dyDescent="0.2">
      <c r="A78" s="37" t="s">
        <v>125</v>
      </c>
      <c r="B78" s="38" t="s">
        <v>47</v>
      </c>
      <c r="C78" s="38" t="s">
        <v>47</v>
      </c>
      <c r="D78" s="38" t="s">
        <v>47</v>
      </c>
      <c r="E78" s="38" t="s">
        <v>47</v>
      </c>
      <c r="F78" s="38" t="s">
        <v>45</v>
      </c>
      <c r="G78" s="38" t="s">
        <v>48</v>
      </c>
      <c r="H78" s="38" t="s">
        <v>47</v>
      </c>
      <c r="I78" s="38" t="s">
        <v>47</v>
      </c>
      <c r="J78" s="38" t="s">
        <v>47</v>
      </c>
      <c r="K78" s="38" t="s">
        <v>45</v>
      </c>
      <c r="L78" s="38" t="s">
        <v>45</v>
      </c>
      <c r="M78" s="38" t="s">
        <v>48</v>
      </c>
      <c r="N78" s="38" t="s">
        <v>45</v>
      </c>
      <c r="O78" s="38" t="s">
        <v>48</v>
      </c>
      <c r="P78" s="38" t="s">
        <v>45</v>
      </c>
      <c r="Q78" s="38" t="s">
        <v>48</v>
      </c>
      <c r="R78" s="38" t="s">
        <v>48</v>
      </c>
      <c r="S78" s="38" t="s">
        <v>48</v>
      </c>
      <c r="T78" s="38" t="s">
        <v>45</v>
      </c>
      <c r="U78" s="38" t="s">
        <v>48</v>
      </c>
      <c r="V78" s="37">
        <v>1</v>
      </c>
      <c r="W78" s="37">
        <v>1</v>
      </c>
      <c r="X78" s="37">
        <v>0</v>
      </c>
      <c r="Y78" s="37">
        <v>0</v>
      </c>
      <c r="Z78" s="37">
        <v>0</v>
      </c>
      <c r="AA78" s="37">
        <v>1</v>
      </c>
      <c r="AB78" s="37">
        <v>1</v>
      </c>
      <c r="AC78" s="37">
        <v>1</v>
      </c>
      <c r="AD78" s="37">
        <v>1</v>
      </c>
      <c r="AE78" s="37">
        <v>0</v>
      </c>
      <c r="AF78" s="37">
        <v>1</v>
      </c>
      <c r="AG78" s="37">
        <v>0</v>
      </c>
      <c r="AH78" s="37">
        <v>0</v>
      </c>
      <c r="AI78" s="37">
        <v>1</v>
      </c>
      <c r="AJ78" s="37">
        <v>1</v>
      </c>
      <c r="AK78" s="37">
        <v>1</v>
      </c>
      <c r="AL78" s="37">
        <v>0</v>
      </c>
      <c r="AM78" s="37">
        <v>0</v>
      </c>
      <c r="AN78" s="37">
        <v>1</v>
      </c>
      <c r="AO78" s="37">
        <v>1</v>
      </c>
      <c r="AP78" s="39">
        <v>4</v>
      </c>
      <c r="AQ78" s="27">
        <v>2</v>
      </c>
      <c r="AR78" s="7">
        <v>17</v>
      </c>
      <c r="AS78" s="26">
        <v>6</v>
      </c>
      <c r="AT78" s="43" t="s">
        <v>42</v>
      </c>
      <c r="AU78" t="s">
        <v>141</v>
      </c>
      <c r="AV78" s="46">
        <v>5</v>
      </c>
      <c r="AW78">
        <v>1</v>
      </c>
    </row>
    <row r="79" spans="1:49" x14ac:dyDescent="0.2">
      <c r="A79" s="37" t="s">
        <v>126</v>
      </c>
      <c r="B79" s="38" t="s">
        <v>47</v>
      </c>
      <c r="C79" s="38" t="s">
        <v>46</v>
      </c>
      <c r="D79" s="38" t="s">
        <v>48</v>
      </c>
      <c r="E79" s="38" t="s">
        <v>45</v>
      </c>
      <c r="F79" s="38" t="s">
        <v>48</v>
      </c>
      <c r="G79" s="38" t="s">
        <v>47</v>
      </c>
      <c r="H79" s="38" t="s">
        <v>47</v>
      </c>
      <c r="I79" s="38" t="s">
        <v>45</v>
      </c>
      <c r="J79" s="38" t="s">
        <v>48</v>
      </c>
      <c r="K79" s="38" t="s">
        <v>47</v>
      </c>
      <c r="L79" s="38" t="s">
        <v>47</v>
      </c>
      <c r="M79" s="38" t="s">
        <v>45</v>
      </c>
      <c r="N79" s="38" t="s">
        <v>48</v>
      </c>
      <c r="O79" s="38" t="s">
        <v>45</v>
      </c>
      <c r="P79" s="38" t="s">
        <v>46</v>
      </c>
      <c r="Q79" s="38" t="s">
        <v>48</v>
      </c>
      <c r="R79" s="38" t="s">
        <v>46</v>
      </c>
      <c r="S79" s="38" t="s">
        <v>46</v>
      </c>
      <c r="T79" s="38" t="s">
        <v>45</v>
      </c>
      <c r="U79" s="38" t="s">
        <v>46</v>
      </c>
      <c r="V79" s="37">
        <v>1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1</v>
      </c>
      <c r="AC79" s="37">
        <v>0</v>
      </c>
      <c r="AD79" s="37">
        <v>0</v>
      </c>
      <c r="AE79" s="37">
        <v>0</v>
      </c>
      <c r="AF79" s="37">
        <v>0</v>
      </c>
      <c r="AG79" s="37">
        <v>1</v>
      </c>
      <c r="AH79" s="37">
        <v>0</v>
      </c>
      <c r="AI79" s="37">
        <v>0</v>
      </c>
      <c r="AJ79" s="37">
        <v>0</v>
      </c>
      <c r="AK79" s="37">
        <v>1</v>
      </c>
      <c r="AL79" s="37">
        <v>1</v>
      </c>
      <c r="AM79" s="37">
        <v>0</v>
      </c>
      <c r="AN79" s="37">
        <v>1</v>
      </c>
      <c r="AO79" s="37">
        <v>0</v>
      </c>
      <c r="AP79" s="39">
        <v>2.5</v>
      </c>
      <c r="AQ79" s="27">
        <v>1</v>
      </c>
      <c r="AR79" s="7">
        <v>18</v>
      </c>
      <c r="AS79" s="26">
        <v>5</v>
      </c>
      <c r="AT79" s="43" t="s">
        <v>42</v>
      </c>
      <c r="AU79" t="s">
        <v>141</v>
      </c>
      <c r="AV79" s="46">
        <v>5</v>
      </c>
      <c r="AW79">
        <v>1</v>
      </c>
    </row>
    <row r="80" spans="1:49" x14ac:dyDescent="0.2">
      <c r="A80" s="37" t="s">
        <v>127</v>
      </c>
      <c r="B80" s="38" t="s">
        <v>48</v>
      </c>
      <c r="C80" s="38" t="s">
        <v>47</v>
      </c>
      <c r="D80" s="38" t="s">
        <v>48</v>
      </c>
      <c r="E80" s="38" t="s">
        <v>46</v>
      </c>
      <c r="F80" s="38" t="s">
        <v>46</v>
      </c>
      <c r="G80" s="38" t="s">
        <v>48</v>
      </c>
      <c r="H80" s="38" t="s">
        <v>47</v>
      </c>
      <c r="I80" s="38" t="s">
        <v>47</v>
      </c>
      <c r="J80" s="38" t="s">
        <v>47</v>
      </c>
      <c r="K80" s="38" t="s">
        <v>45</v>
      </c>
      <c r="L80" s="38" t="s">
        <v>45</v>
      </c>
      <c r="M80" s="38" t="s">
        <v>45</v>
      </c>
      <c r="N80" s="38" t="s">
        <v>45</v>
      </c>
      <c r="O80" s="38" t="s">
        <v>48</v>
      </c>
      <c r="P80" s="38" t="s">
        <v>45</v>
      </c>
      <c r="Q80" s="38" t="s">
        <v>48</v>
      </c>
      <c r="R80" s="38" t="s">
        <v>47</v>
      </c>
      <c r="S80" s="38" t="s">
        <v>46</v>
      </c>
      <c r="T80" s="38" t="s">
        <v>47</v>
      </c>
      <c r="U80" s="38" t="s">
        <v>47</v>
      </c>
      <c r="V80" s="37">
        <v>0</v>
      </c>
      <c r="W80" s="37">
        <v>1</v>
      </c>
      <c r="X80" s="37">
        <v>0</v>
      </c>
      <c r="Y80" s="37">
        <v>1</v>
      </c>
      <c r="Z80" s="37">
        <v>1</v>
      </c>
      <c r="AA80" s="37">
        <v>1</v>
      </c>
      <c r="AB80" s="37">
        <v>1</v>
      </c>
      <c r="AC80" s="37">
        <v>1</v>
      </c>
      <c r="AD80" s="37">
        <v>1</v>
      </c>
      <c r="AE80" s="37">
        <v>0</v>
      </c>
      <c r="AF80" s="37">
        <v>1</v>
      </c>
      <c r="AG80" s="37">
        <v>1</v>
      </c>
      <c r="AH80" s="37">
        <v>0</v>
      </c>
      <c r="AI80" s="37">
        <v>1</v>
      </c>
      <c r="AJ80" s="37">
        <v>1</v>
      </c>
      <c r="AK80" s="37">
        <v>1</v>
      </c>
      <c r="AL80" s="37">
        <v>0</v>
      </c>
      <c r="AM80" s="37">
        <v>0</v>
      </c>
      <c r="AN80" s="37">
        <v>0</v>
      </c>
      <c r="AO80" s="37">
        <v>0</v>
      </c>
      <c r="AP80" s="39">
        <v>4</v>
      </c>
      <c r="AQ80" s="27">
        <v>2</v>
      </c>
      <c r="AR80" s="7">
        <v>19</v>
      </c>
      <c r="AS80" s="26">
        <v>29</v>
      </c>
      <c r="AT80" s="43" t="s">
        <v>42</v>
      </c>
      <c r="AU80" t="s">
        <v>141</v>
      </c>
      <c r="AV80" s="46">
        <v>1</v>
      </c>
      <c r="AW80">
        <v>1</v>
      </c>
    </row>
    <row r="81" spans="1:49" x14ac:dyDescent="0.2">
      <c r="A81" s="37" t="s">
        <v>128</v>
      </c>
      <c r="B81" s="38" t="s">
        <v>47</v>
      </c>
      <c r="C81" s="38" t="s">
        <v>45</v>
      </c>
      <c r="D81" s="38" t="s">
        <v>45</v>
      </c>
      <c r="E81" s="38" t="s">
        <v>47</v>
      </c>
      <c r="F81" s="38" t="s">
        <v>45</v>
      </c>
      <c r="G81" s="38" t="s">
        <v>48</v>
      </c>
      <c r="H81" s="38" t="s">
        <v>46</v>
      </c>
      <c r="I81" s="38" t="s">
        <v>47</v>
      </c>
      <c r="J81" s="38" t="s">
        <v>46</v>
      </c>
      <c r="K81" s="38" t="s">
        <v>47</v>
      </c>
      <c r="L81" s="38" t="s">
        <v>47</v>
      </c>
      <c r="M81" s="38" t="s">
        <v>48</v>
      </c>
      <c r="N81" s="38" t="s">
        <v>47</v>
      </c>
      <c r="O81" s="38" t="s">
        <v>46</v>
      </c>
      <c r="P81" s="38" t="s">
        <v>45</v>
      </c>
      <c r="Q81" s="38" t="s">
        <v>48</v>
      </c>
      <c r="R81" s="38" t="s">
        <v>48</v>
      </c>
      <c r="S81" s="38" t="s">
        <v>47</v>
      </c>
      <c r="T81" s="38" t="s">
        <v>45</v>
      </c>
      <c r="U81" s="38" t="s">
        <v>48</v>
      </c>
      <c r="V81" s="37">
        <v>1</v>
      </c>
      <c r="W81" s="37">
        <v>0</v>
      </c>
      <c r="X81" s="37">
        <v>0</v>
      </c>
      <c r="Y81" s="37">
        <v>0</v>
      </c>
      <c r="Z81" s="37">
        <v>0</v>
      </c>
      <c r="AA81" s="37">
        <v>1</v>
      </c>
      <c r="AB81" s="37">
        <v>0</v>
      </c>
      <c r="AC81" s="37">
        <v>1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1</v>
      </c>
      <c r="AK81" s="37">
        <v>1</v>
      </c>
      <c r="AL81" s="37">
        <v>0</v>
      </c>
      <c r="AM81" s="37">
        <v>0</v>
      </c>
      <c r="AN81" s="37">
        <v>1</v>
      </c>
      <c r="AO81" s="37">
        <v>1</v>
      </c>
      <c r="AP81" s="39">
        <v>2.75</v>
      </c>
      <c r="AQ81" s="27">
        <v>3</v>
      </c>
      <c r="AR81" s="7">
        <v>20</v>
      </c>
      <c r="AS81" s="26">
        <v>5</v>
      </c>
      <c r="AT81" s="43" t="s">
        <v>42</v>
      </c>
      <c r="AU81" t="s">
        <v>141</v>
      </c>
      <c r="AV81" s="46">
        <v>1</v>
      </c>
      <c r="AW81">
        <v>1</v>
      </c>
    </row>
    <row r="82" spans="1:49" x14ac:dyDescent="0.2">
      <c r="A82" s="37" t="s">
        <v>129</v>
      </c>
      <c r="B82" s="38" t="s">
        <v>48</v>
      </c>
      <c r="C82" s="38" t="s">
        <v>47</v>
      </c>
      <c r="D82" s="38" t="s">
        <v>45</v>
      </c>
      <c r="E82" s="38" t="s">
        <v>45</v>
      </c>
      <c r="F82" s="38" t="s">
        <v>48</v>
      </c>
      <c r="G82" s="38" t="s">
        <v>48</v>
      </c>
      <c r="H82" s="38" t="s">
        <v>47</v>
      </c>
      <c r="I82" s="38" t="s">
        <v>45</v>
      </c>
      <c r="J82" s="38" t="s">
        <v>46</v>
      </c>
      <c r="K82" s="38" t="s">
        <v>45</v>
      </c>
      <c r="L82" s="38" t="s">
        <v>45</v>
      </c>
      <c r="M82" s="38" t="s">
        <v>48</v>
      </c>
      <c r="N82" s="38" t="s">
        <v>48</v>
      </c>
      <c r="O82" s="38" t="s">
        <v>48</v>
      </c>
      <c r="P82" s="38" t="s">
        <v>48</v>
      </c>
      <c r="Q82" s="38" t="s">
        <v>48</v>
      </c>
      <c r="R82" s="38" t="s">
        <v>45</v>
      </c>
      <c r="S82" s="38" t="s">
        <v>47</v>
      </c>
      <c r="T82" s="38" t="s">
        <v>46</v>
      </c>
      <c r="U82" s="38" t="s">
        <v>48</v>
      </c>
      <c r="V82" s="37">
        <v>0</v>
      </c>
      <c r="W82" s="37">
        <v>1</v>
      </c>
      <c r="X82" s="37">
        <v>0</v>
      </c>
      <c r="Y82" s="37">
        <v>0</v>
      </c>
      <c r="Z82" s="37">
        <v>0</v>
      </c>
      <c r="AA82" s="37">
        <v>1</v>
      </c>
      <c r="AB82" s="37">
        <v>1</v>
      </c>
      <c r="AC82" s="37">
        <v>0</v>
      </c>
      <c r="AD82" s="37">
        <v>0</v>
      </c>
      <c r="AE82" s="37">
        <v>0</v>
      </c>
      <c r="AF82" s="37">
        <v>1</v>
      </c>
      <c r="AG82" s="37">
        <v>0</v>
      </c>
      <c r="AH82" s="37">
        <v>0</v>
      </c>
      <c r="AI82" s="37">
        <v>1</v>
      </c>
      <c r="AJ82" s="37">
        <v>0</v>
      </c>
      <c r="AK82" s="37">
        <v>1</v>
      </c>
      <c r="AL82" s="37">
        <v>0</v>
      </c>
      <c r="AM82" s="37">
        <v>0</v>
      </c>
      <c r="AN82" s="37">
        <v>0</v>
      </c>
      <c r="AO82" s="37">
        <v>1</v>
      </c>
      <c r="AP82" s="39">
        <v>2.75</v>
      </c>
      <c r="AQ82" s="23"/>
      <c r="AR82" s="24"/>
      <c r="AS82" s="23"/>
      <c r="AT82" s="43" t="s">
        <v>42</v>
      </c>
      <c r="AU82" s="12"/>
      <c r="AV82" s="23"/>
      <c r="AW82">
        <v>1</v>
      </c>
    </row>
    <row r="83" spans="1:49" x14ac:dyDescent="0.2">
      <c r="A83" s="37" t="s">
        <v>130</v>
      </c>
      <c r="B83" s="38" t="s">
        <v>45</v>
      </c>
      <c r="C83" s="38" t="s">
        <v>47</v>
      </c>
      <c r="D83" s="38" t="s">
        <v>45</v>
      </c>
      <c r="E83" s="38" t="s">
        <v>45</v>
      </c>
      <c r="F83" s="38" t="s">
        <v>46</v>
      </c>
      <c r="G83" s="38" t="s">
        <v>48</v>
      </c>
      <c r="H83" s="38" t="s">
        <v>47</v>
      </c>
      <c r="I83" s="38" t="s">
        <v>45</v>
      </c>
      <c r="J83" s="38" t="s">
        <v>46</v>
      </c>
      <c r="K83" s="38" t="s">
        <v>45</v>
      </c>
      <c r="L83" s="38" t="s">
        <v>45</v>
      </c>
      <c r="M83" s="38" t="s">
        <v>46</v>
      </c>
      <c r="N83" s="38" t="s">
        <v>47</v>
      </c>
      <c r="O83" s="38" t="s">
        <v>48</v>
      </c>
      <c r="P83" s="38" t="s">
        <v>48</v>
      </c>
      <c r="Q83" s="38" t="s">
        <v>46</v>
      </c>
      <c r="R83" s="38" t="s">
        <v>45</v>
      </c>
      <c r="S83" s="38" t="s">
        <v>46</v>
      </c>
      <c r="T83" s="38" t="s">
        <v>45</v>
      </c>
      <c r="U83" s="38" t="s">
        <v>45</v>
      </c>
      <c r="V83" s="37">
        <v>0</v>
      </c>
      <c r="W83" s="37">
        <v>1</v>
      </c>
      <c r="X83" s="37">
        <v>0</v>
      </c>
      <c r="Y83" s="37">
        <v>0</v>
      </c>
      <c r="Z83" s="37">
        <v>1</v>
      </c>
      <c r="AA83" s="37">
        <v>1</v>
      </c>
      <c r="AB83" s="37">
        <v>1</v>
      </c>
      <c r="AC83" s="37">
        <v>0</v>
      </c>
      <c r="AD83" s="37">
        <v>0</v>
      </c>
      <c r="AE83" s="37">
        <v>0</v>
      </c>
      <c r="AF83" s="37">
        <v>1</v>
      </c>
      <c r="AG83" s="37">
        <v>0</v>
      </c>
      <c r="AH83" s="37">
        <v>0</v>
      </c>
      <c r="AI83" s="37">
        <v>1</v>
      </c>
      <c r="AJ83" s="37">
        <v>0</v>
      </c>
      <c r="AK83" s="37">
        <v>0</v>
      </c>
      <c r="AL83" s="37">
        <v>0</v>
      </c>
      <c r="AM83" s="37">
        <v>0</v>
      </c>
      <c r="AN83" s="37">
        <v>1</v>
      </c>
      <c r="AO83" s="37">
        <v>0</v>
      </c>
      <c r="AP83" s="39">
        <v>2.75</v>
      </c>
      <c r="AQ83" s="12"/>
      <c r="AR83" s="11"/>
      <c r="AS83" s="12"/>
      <c r="AT83" s="43" t="s">
        <v>42</v>
      </c>
      <c r="AU83" s="25"/>
      <c r="AV83" s="12"/>
      <c r="AW83">
        <v>1</v>
      </c>
    </row>
    <row r="84" spans="1:49" x14ac:dyDescent="0.2">
      <c r="A84" s="37" t="s">
        <v>131</v>
      </c>
      <c r="B84" s="38" t="s">
        <v>47</v>
      </c>
      <c r="C84" s="38" t="s">
        <v>48</v>
      </c>
      <c r="D84" s="38" t="s">
        <v>48</v>
      </c>
      <c r="E84" s="38" t="s">
        <v>46</v>
      </c>
      <c r="F84" s="38" t="s">
        <v>47</v>
      </c>
      <c r="G84" s="38" t="s">
        <v>48</v>
      </c>
      <c r="H84" s="38" t="s">
        <v>47</v>
      </c>
      <c r="I84" s="38" t="s">
        <v>47</v>
      </c>
      <c r="J84" s="38" t="s">
        <v>46</v>
      </c>
      <c r="K84" s="38" t="s">
        <v>47</v>
      </c>
      <c r="L84" s="38" t="s">
        <v>46</v>
      </c>
      <c r="M84" s="38" t="s">
        <v>47</v>
      </c>
      <c r="N84" s="38" t="s">
        <v>48</v>
      </c>
      <c r="O84" s="38" t="s">
        <v>45</v>
      </c>
      <c r="P84" s="38" t="s">
        <v>45</v>
      </c>
      <c r="Q84" s="38" t="s">
        <v>48</v>
      </c>
      <c r="R84" s="38" t="s">
        <v>46</v>
      </c>
      <c r="S84" s="38" t="s">
        <v>46</v>
      </c>
      <c r="T84" s="38" t="s">
        <v>46</v>
      </c>
      <c r="U84" s="38" t="s">
        <v>47</v>
      </c>
      <c r="V84" s="37">
        <v>1</v>
      </c>
      <c r="W84" s="37">
        <v>0</v>
      </c>
      <c r="X84" s="37">
        <v>0</v>
      </c>
      <c r="Y84" s="37">
        <v>1</v>
      </c>
      <c r="Z84" s="37">
        <v>0</v>
      </c>
      <c r="AA84" s="37">
        <v>1</v>
      </c>
      <c r="AB84" s="37">
        <v>1</v>
      </c>
      <c r="AC84" s="37">
        <v>1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1</v>
      </c>
      <c r="AK84" s="37">
        <v>1</v>
      </c>
      <c r="AL84" s="37">
        <v>1</v>
      </c>
      <c r="AM84" s="37">
        <v>0</v>
      </c>
      <c r="AN84" s="37">
        <v>0</v>
      </c>
      <c r="AO84" s="37">
        <v>0</v>
      </c>
      <c r="AP84" s="39">
        <v>3</v>
      </c>
      <c r="AQ84" s="12"/>
      <c r="AR84" s="11"/>
      <c r="AS84" s="12"/>
      <c r="AT84" s="43" t="s">
        <v>42</v>
      </c>
      <c r="AU84" s="25"/>
      <c r="AV84" s="12"/>
      <c r="AW84">
        <v>1</v>
      </c>
    </row>
    <row r="85" spans="1:49" x14ac:dyDescent="0.2">
      <c r="A85" s="37" t="s">
        <v>132</v>
      </c>
      <c r="B85" s="38" t="s">
        <v>47</v>
      </c>
      <c r="C85" s="38" t="s">
        <v>48</v>
      </c>
      <c r="D85" s="38" t="s">
        <v>47</v>
      </c>
      <c r="E85" s="38" t="s">
        <v>45</v>
      </c>
      <c r="F85" s="38" t="s">
        <v>46</v>
      </c>
      <c r="G85" s="38" t="s">
        <v>48</v>
      </c>
      <c r="H85" s="38" t="s">
        <v>47</v>
      </c>
      <c r="I85" s="38" t="s">
        <v>48</v>
      </c>
      <c r="J85" s="38" t="s">
        <v>46</v>
      </c>
      <c r="K85" s="38" t="s">
        <v>48</v>
      </c>
      <c r="L85" s="38" t="s">
        <v>45</v>
      </c>
      <c r="M85" s="38" t="s">
        <v>48</v>
      </c>
      <c r="N85" s="38" t="s">
        <v>45</v>
      </c>
      <c r="O85" s="38" t="s">
        <v>48</v>
      </c>
      <c r="P85" s="38" t="s">
        <v>45</v>
      </c>
      <c r="Q85" s="38" t="s">
        <v>48</v>
      </c>
      <c r="R85" s="38" t="s">
        <v>47</v>
      </c>
      <c r="S85" s="38" t="s">
        <v>48</v>
      </c>
      <c r="T85" s="38" t="s">
        <v>46</v>
      </c>
      <c r="U85" s="38" t="s">
        <v>47</v>
      </c>
      <c r="V85" s="37">
        <v>1</v>
      </c>
      <c r="W85" s="37">
        <v>0</v>
      </c>
      <c r="X85" s="37">
        <v>0</v>
      </c>
      <c r="Y85" s="37">
        <v>0</v>
      </c>
      <c r="Z85" s="37">
        <v>1</v>
      </c>
      <c r="AA85" s="37">
        <v>1</v>
      </c>
      <c r="AB85" s="37">
        <v>1</v>
      </c>
      <c r="AC85" s="37">
        <v>0</v>
      </c>
      <c r="AD85" s="37">
        <v>0</v>
      </c>
      <c r="AE85" s="37">
        <v>0</v>
      </c>
      <c r="AF85" s="37">
        <v>1</v>
      </c>
      <c r="AG85" s="37">
        <v>0</v>
      </c>
      <c r="AH85" s="37">
        <v>0</v>
      </c>
      <c r="AI85" s="37">
        <v>1</v>
      </c>
      <c r="AJ85" s="37">
        <v>1</v>
      </c>
      <c r="AK85" s="37">
        <v>1</v>
      </c>
      <c r="AL85" s="37">
        <v>0</v>
      </c>
      <c r="AM85" s="37">
        <v>0</v>
      </c>
      <c r="AN85" s="37">
        <v>0</v>
      </c>
      <c r="AO85" s="37">
        <v>0</v>
      </c>
      <c r="AP85" s="39">
        <v>3</v>
      </c>
      <c r="AQ85" s="12"/>
      <c r="AR85" s="11"/>
      <c r="AS85" s="12"/>
      <c r="AT85" s="43" t="s">
        <v>42</v>
      </c>
      <c r="AU85" s="25"/>
      <c r="AV85" s="12"/>
      <c r="AW85">
        <v>1</v>
      </c>
    </row>
    <row r="86" spans="1:49" x14ac:dyDescent="0.2">
      <c r="A86" s="37" t="s">
        <v>133</v>
      </c>
      <c r="B86" s="38" t="s">
        <v>45</v>
      </c>
      <c r="C86" s="38" t="s">
        <v>47</v>
      </c>
      <c r="D86" s="38" t="s">
        <v>45</v>
      </c>
      <c r="E86" s="38" t="s">
        <v>46</v>
      </c>
      <c r="F86" s="38" t="s">
        <v>46</v>
      </c>
      <c r="G86" s="38" t="s">
        <v>48</v>
      </c>
      <c r="H86" s="38" t="s">
        <v>47</v>
      </c>
      <c r="I86" s="38" t="s">
        <v>47</v>
      </c>
      <c r="J86" s="38" t="s">
        <v>46</v>
      </c>
      <c r="K86" s="38" t="s">
        <v>47</v>
      </c>
      <c r="L86" s="38" t="s">
        <v>45</v>
      </c>
      <c r="M86" s="38" t="s">
        <v>45</v>
      </c>
      <c r="N86" s="38" t="s">
        <v>48</v>
      </c>
      <c r="O86" s="38" t="s">
        <v>48</v>
      </c>
      <c r="P86" s="38" t="s">
        <v>45</v>
      </c>
      <c r="Q86" s="38" t="s">
        <v>48</v>
      </c>
      <c r="R86" s="38" t="s">
        <v>45</v>
      </c>
      <c r="S86" s="38" t="s">
        <v>46</v>
      </c>
      <c r="T86" s="38" t="s">
        <v>47</v>
      </c>
      <c r="U86" s="38" t="s">
        <v>45</v>
      </c>
      <c r="V86" s="37">
        <v>0</v>
      </c>
      <c r="W86" s="37">
        <v>1</v>
      </c>
      <c r="X86" s="37">
        <v>0</v>
      </c>
      <c r="Y86" s="37">
        <v>1</v>
      </c>
      <c r="Z86" s="37">
        <v>1</v>
      </c>
      <c r="AA86" s="37">
        <v>1</v>
      </c>
      <c r="AB86" s="37">
        <v>1</v>
      </c>
      <c r="AC86" s="37">
        <v>1</v>
      </c>
      <c r="AD86" s="37">
        <v>0</v>
      </c>
      <c r="AE86" s="37">
        <v>0</v>
      </c>
      <c r="AF86" s="37">
        <v>1</v>
      </c>
      <c r="AG86" s="37">
        <v>1</v>
      </c>
      <c r="AH86" s="37">
        <v>0</v>
      </c>
      <c r="AI86" s="37">
        <v>1</v>
      </c>
      <c r="AJ86" s="37">
        <v>1</v>
      </c>
      <c r="AK86" s="37">
        <v>1</v>
      </c>
      <c r="AL86" s="37">
        <v>0</v>
      </c>
      <c r="AM86" s="37">
        <v>0</v>
      </c>
      <c r="AN86" s="37">
        <v>0</v>
      </c>
      <c r="AO86" s="37">
        <v>0</v>
      </c>
      <c r="AP86" s="39">
        <v>3.75</v>
      </c>
      <c r="AQ86" s="12"/>
      <c r="AR86" s="11"/>
      <c r="AS86" s="12"/>
      <c r="AT86" s="43" t="s">
        <v>42</v>
      </c>
      <c r="AU86" s="25"/>
      <c r="AV86" s="12"/>
      <c r="AW86">
        <v>1</v>
      </c>
    </row>
    <row r="87" spans="1:49" x14ac:dyDescent="0.2">
      <c r="A87" s="37" t="s">
        <v>134</v>
      </c>
      <c r="B87" s="38" t="s">
        <v>47</v>
      </c>
      <c r="C87" s="38" t="s">
        <v>47</v>
      </c>
      <c r="D87" s="38" t="s">
        <v>48</v>
      </c>
      <c r="E87" s="38" t="s">
        <v>47</v>
      </c>
      <c r="F87" s="38" t="s">
        <v>46</v>
      </c>
      <c r="G87" s="38" t="s">
        <v>48</v>
      </c>
      <c r="H87" s="38" t="s">
        <v>47</v>
      </c>
      <c r="I87" s="38" t="s">
        <v>46</v>
      </c>
      <c r="J87" s="38" t="s">
        <v>46</v>
      </c>
      <c r="K87" s="38" t="s">
        <v>47</v>
      </c>
      <c r="L87" s="38" t="s">
        <v>47</v>
      </c>
      <c r="M87" s="38" t="s">
        <v>45</v>
      </c>
      <c r="N87" s="38" t="s">
        <v>46</v>
      </c>
      <c r="O87" s="38" t="s">
        <v>48</v>
      </c>
      <c r="P87" s="38" t="s">
        <v>47</v>
      </c>
      <c r="Q87" s="38" t="s">
        <v>48</v>
      </c>
      <c r="R87" s="38" t="s">
        <v>46</v>
      </c>
      <c r="S87" s="38" t="s">
        <v>46</v>
      </c>
      <c r="T87" s="38" t="s">
        <v>45</v>
      </c>
      <c r="U87" s="38" t="s">
        <v>47</v>
      </c>
      <c r="V87" s="37">
        <v>1</v>
      </c>
      <c r="W87" s="37">
        <v>1</v>
      </c>
      <c r="X87" s="37">
        <v>0</v>
      </c>
      <c r="Y87" s="37">
        <v>0</v>
      </c>
      <c r="Z87" s="37">
        <v>1</v>
      </c>
      <c r="AA87" s="37">
        <v>1</v>
      </c>
      <c r="AB87" s="37">
        <v>1</v>
      </c>
      <c r="AC87" s="37">
        <v>0</v>
      </c>
      <c r="AD87" s="37">
        <v>0</v>
      </c>
      <c r="AE87" s="37">
        <v>0</v>
      </c>
      <c r="AF87" s="37">
        <v>0</v>
      </c>
      <c r="AG87" s="37">
        <v>1</v>
      </c>
      <c r="AH87" s="37">
        <v>1</v>
      </c>
      <c r="AI87" s="37">
        <v>1</v>
      </c>
      <c r="AJ87" s="37">
        <v>0</v>
      </c>
      <c r="AK87" s="37">
        <v>1</v>
      </c>
      <c r="AL87" s="37">
        <v>1</v>
      </c>
      <c r="AM87" s="37">
        <v>0</v>
      </c>
      <c r="AN87" s="37">
        <v>1</v>
      </c>
      <c r="AO87" s="37">
        <v>0</v>
      </c>
      <c r="AP87" s="39">
        <v>3.75</v>
      </c>
      <c r="AQ87" s="12"/>
      <c r="AR87" s="11"/>
      <c r="AS87" s="12"/>
      <c r="AT87" s="43" t="s">
        <v>42</v>
      </c>
      <c r="AU87" s="25"/>
      <c r="AV87" s="12"/>
      <c r="AW87">
        <v>1</v>
      </c>
    </row>
    <row r="88" spans="1:49" x14ac:dyDescent="0.2">
      <c r="A88" s="37" t="s">
        <v>135</v>
      </c>
      <c r="B88" s="38" t="s">
        <v>48</v>
      </c>
      <c r="C88" s="38" t="s">
        <v>47</v>
      </c>
      <c r="D88" s="38" t="s">
        <v>45</v>
      </c>
      <c r="E88" s="38" t="s">
        <v>46</v>
      </c>
      <c r="F88" s="38" t="s">
        <v>46</v>
      </c>
      <c r="G88" s="38" t="s">
        <v>48</v>
      </c>
      <c r="H88" s="38" t="s">
        <v>47</v>
      </c>
      <c r="I88" s="38" t="s">
        <v>45</v>
      </c>
      <c r="J88" s="38" t="s">
        <v>45</v>
      </c>
      <c r="K88" s="38" t="s">
        <v>47</v>
      </c>
      <c r="L88" s="38" t="s">
        <v>45</v>
      </c>
      <c r="M88" s="38" t="s">
        <v>48</v>
      </c>
      <c r="N88" s="38" t="s">
        <v>47</v>
      </c>
      <c r="O88" s="38" t="s">
        <v>48</v>
      </c>
      <c r="P88" s="38" t="s">
        <v>45</v>
      </c>
      <c r="Q88" s="38" t="s">
        <v>48</v>
      </c>
      <c r="R88" s="38" t="s">
        <v>45</v>
      </c>
      <c r="S88" s="38" t="s">
        <v>45</v>
      </c>
      <c r="T88" s="38" t="s">
        <v>47</v>
      </c>
      <c r="U88" s="38" t="s">
        <v>48</v>
      </c>
      <c r="V88" s="37">
        <v>0</v>
      </c>
      <c r="W88" s="37">
        <v>1</v>
      </c>
      <c r="X88" s="37">
        <v>0</v>
      </c>
      <c r="Y88" s="37">
        <v>1</v>
      </c>
      <c r="Z88" s="37">
        <v>1</v>
      </c>
      <c r="AA88" s="37">
        <v>1</v>
      </c>
      <c r="AB88" s="37">
        <v>1</v>
      </c>
      <c r="AC88" s="37">
        <v>0</v>
      </c>
      <c r="AD88" s="37">
        <v>0</v>
      </c>
      <c r="AE88" s="37">
        <v>0</v>
      </c>
      <c r="AF88" s="37">
        <v>1</v>
      </c>
      <c r="AG88" s="37">
        <v>0</v>
      </c>
      <c r="AH88" s="37">
        <v>0</v>
      </c>
      <c r="AI88" s="37">
        <v>1</v>
      </c>
      <c r="AJ88" s="37">
        <v>1</v>
      </c>
      <c r="AK88" s="37">
        <v>1</v>
      </c>
      <c r="AL88" s="37">
        <v>0</v>
      </c>
      <c r="AM88" s="37">
        <v>1</v>
      </c>
      <c r="AN88" s="37">
        <v>0</v>
      </c>
      <c r="AO88" s="37">
        <v>1</v>
      </c>
      <c r="AP88" s="39">
        <v>3.75</v>
      </c>
      <c r="AQ88" s="12"/>
      <c r="AR88" s="11"/>
      <c r="AS88" s="12"/>
      <c r="AT88" s="43" t="s">
        <v>42</v>
      </c>
      <c r="AU88" s="25"/>
      <c r="AV88" s="12"/>
      <c r="AW88">
        <v>1</v>
      </c>
    </row>
    <row r="89" spans="1:49" x14ac:dyDescent="0.2">
      <c r="A89" s="37" t="s">
        <v>136</v>
      </c>
      <c r="B89" s="38" t="s">
        <v>47</v>
      </c>
      <c r="C89" s="38" t="s">
        <v>47</v>
      </c>
      <c r="D89" s="38" t="s">
        <v>48</v>
      </c>
      <c r="E89" s="38" t="s">
        <v>45</v>
      </c>
      <c r="F89" s="38" t="s">
        <v>46</v>
      </c>
      <c r="G89" s="38" t="s">
        <v>48</v>
      </c>
      <c r="H89" s="38" t="s">
        <v>45</v>
      </c>
      <c r="I89" s="38" t="s">
        <v>47</v>
      </c>
      <c r="J89" s="38" t="s">
        <v>45</v>
      </c>
      <c r="K89" s="38" t="s">
        <v>47</v>
      </c>
      <c r="L89" s="38" t="s">
        <v>45</v>
      </c>
      <c r="M89" s="38" t="s">
        <v>45</v>
      </c>
      <c r="N89" s="38" t="s">
        <v>48</v>
      </c>
      <c r="O89" s="38" t="s">
        <v>45</v>
      </c>
      <c r="P89" s="38" t="s">
        <v>47</v>
      </c>
      <c r="Q89" s="38" t="s">
        <v>46</v>
      </c>
      <c r="R89" s="38" t="s">
        <v>47</v>
      </c>
      <c r="S89" s="38" t="s">
        <v>48</v>
      </c>
      <c r="T89" s="38" t="s">
        <v>45</v>
      </c>
      <c r="U89" s="38" t="s">
        <v>45</v>
      </c>
      <c r="V89" s="37">
        <v>1</v>
      </c>
      <c r="W89" s="37">
        <v>1</v>
      </c>
      <c r="X89" s="37">
        <v>0</v>
      </c>
      <c r="Y89" s="37">
        <v>0</v>
      </c>
      <c r="Z89" s="37">
        <v>1</v>
      </c>
      <c r="AA89" s="37">
        <v>1</v>
      </c>
      <c r="AB89" s="37">
        <v>0</v>
      </c>
      <c r="AC89" s="37">
        <v>1</v>
      </c>
      <c r="AD89" s="37">
        <v>0</v>
      </c>
      <c r="AE89" s="37">
        <v>0</v>
      </c>
      <c r="AF89" s="37">
        <v>1</v>
      </c>
      <c r="AG89" s="37">
        <v>1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1</v>
      </c>
      <c r="AO89" s="37">
        <v>0</v>
      </c>
      <c r="AP89" s="39">
        <v>3</v>
      </c>
      <c r="AQ89" s="12"/>
      <c r="AR89" s="11"/>
      <c r="AS89" s="12"/>
      <c r="AT89" s="43" t="s">
        <v>42</v>
      </c>
      <c r="AU89" s="25"/>
      <c r="AV89" s="12"/>
      <c r="AW89">
        <v>1</v>
      </c>
    </row>
    <row r="90" spans="1:49" x14ac:dyDescent="0.2">
      <c r="A90" s="37" t="s">
        <v>137</v>
      </c>
      <c r="B90" s="38" t="s">
        <v>47</v>
      </c>
      <c r="C90" s="38" t="s">
        <v>47</v>
      </c>
      <c r="D90" s="38" t="s">
        <v>46</v>
      </c>
      <c r="E90" s="38" t="s">
        <v>45</v>
      </c>
      <c r="F90" s="38" t="s">
        <v>46</v>
      </c>
      <c r="G90" s="38" t="s">
        <v>48</v>
      </c>
      <c r="H90" s="38" t="s">
        <v>47</v>
      </c>
      <c r="I90" s="38" t="s">
        <v>46</v>
      </c>
      <c r="J90" s="38" t="s">
        <v>46</v>
      </c>
      <c r="K90" s="38" t="s">
        <v>47</v>
      </c>
      <c r="L90" s="38" t="s">
        <v>45</v>
      </c>
      <c r="M90" s="38" t="s">
        <v>47</v>
      </c>
      <c r="N90" s="38" t="s">
        <v>46</v>
      </c>
      <c r="O90" s="38" t="s">
        <v>45</v>
      </c>
      <c r="P90" s="38" t="s">
        <v>48</v>
      </c>
      <c r="Q90" s="38" t="s">
        <v>48</v>
      </c>
      <c r="R90" s="38" t="s">
        <v>46</v>
      </c>
      <c r="S90" s="38" t="s">
        <v>47</v>
      </c>
      <c r="T90" s="38" t="s">
        <v>45</v>
      </c>
      <c r="U90" s="38" t="s">
        <v>46</v>
      </c>
      <c r="V90" s="37">
        <v>1</v>
      </c>
      <c r="W90" s="37">
        <v>1</v>
      </c>
      <c r="X90" s="37">
        <v>1</v>
      </c>
      <c r="Y90" s="37">
        <v>0</v>
      </c>
      <c r="Z90" s="37">
        <v>1</v>
      </c>
      <c r="AA90" s="37">
        <v>1</v>
      </c>
      <c r="AB90" s="37">
        <v>1</v>
      </c>
      <c r="AC90" s="37">
        <v>0</v>
      </c>
      <c r="AD90" s="37">
        <v>0</v>
      </c>
      <c r="AE90" s="37">
        <v>0</v>
      </c>
      <c r="AF90" s="37">
        <v>1</v>
      </c>
      <c r="AG90" s="37">
        <v>0</v>
      </c>
      <c r="AH90" s="37">
        <v>1</v>
      </c>
      <c r="AI90" s="37">
        <v>0</v>
      </c>
      <c r="AJ90" s="37">
        <v>0</v>
      </c>
      <c r="AK90" s="37">
        <v>1</v>
      </c>
      <c r="AL90" s="37">
        <v>1</v>
      </c>
      <c r="AM90" s="37">
        <v>0</v>
      </c>
      <c r="AN90" s="37">
        <v>1</v>
      </c>
      <c r="AO90" s="37">
        <v>0</v>
      </c>
      <c r="AP90" s="39">
        <v>3.75</v>
      </c>
      <c r="AQ90" s="12"/>
      <c r="AR90" s="11"/>
      <c r="AS90" s="12"/>
      <c r="AT90" s="43" t="s">
        <v>42</v>
      </c>
      <c r="AU90" s="25"/>
      <c r="AV90" s="12"/>
      <c r="AW90">
        <v>1</v>
      </c>
    </row>
    <row r="91" spans="1:49" x14ac:dyDescent="0.2">
      <c r="A91" s="37" t="s">
        <v>138</v>
      </c>
      <c r="B91" s="38" t="s">
        <v>48</v>
      </c>
      <c r="C91" s="38" t="s">
        <v>45</v>
      </c>
      <c r="D91" s="38" t="s">
        <v>45</v>
      </c>
      <c r="E91" s="38" t="s">
        <v>46</v>
      </c>
      <c r="F91" s="38" t="s">
        <v>45</v>
      </c>
      <c r="G91" s="38" t="s">
        <v>48</v>
      </c>
      <c r="H91" s="38" t="s">
        <v>47</v>
      </c>
      <c r="I91" s="38" t="s">
        <v>46</v>
      </c>
      <c r="J91" s="38" t="s">
        <v>47</v>
      </c>
      <c r="K91" s="38" t="s">
        <v>48</v>
      </c>
      <c r="L91" s="38" t="s">
        <v>45</v>
      </c>
      <c r="M91" s="38" t="s">
        <v>47</v>
      </c>
      <c r="N91" s="38" t="s">
        <v>47</v>
      </c>
      <c r="O91" s="38" t="s">
        <v>48</v>
      </c>
      <c r="P91" s="38" t="s">
        <v>46</v>
      </c>
      <c r="Q91" s="38" t="s">
        <v>46</v>
      </c>
      <c r="R91" s="38" t="s">
        <v>45</v>
      </c>
      <c r="S91" s="38" t="s">
        <v>46</v>
      </c>
      <c r="T91" s="38" t="s">
        <v>48</v>
      </c>
      <c r="U91" s="38" t="s">
        <v>47</v>
      </c>
      <c r="V91" s="37">
        <v>0</v>
      </c>
      <c r="W91" s="37">
        <v>0</v>
      </c>
      <c r="X91" s="37">
        <v>0</v>
      </c>
      <c r="Y91" s="37">
        <v>1</v>
      </c>
      <c r="Z91" s="37">
        <v>0</v>
      </c>
      <c r="AA91" s="37">
        <v>1</v>
      </c>
      <c r="AB91" s="37">
        <v>1</v>
      </c>
      <c r="AC91" s="37">
        <v>0</v>
      </c>
      <c r="AD91" s="37">
        <v>1</v>
      </c>
      <c r="AE91" s="37">
        <v>0</v>
      </c>
      <c r="AF91" s="37">
        <v>1</v>
      </c>
      <c r="AG91" s="37">
        <v>0</v>
      </c>
      <c r="AH91" s="37">
        <v>0</v>
      </c>
      <c r="AI91" s="37">
        <v>1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9">
        <v>2.5</v>
      </c>
      <c r="AQ91" s="12"/>
      <c r="AR91" s="11"/>
      <c r="AS91" s="12"/>
      <c r="AT91" s="43" t="s">
        <v>42</v>
      </c>
      <c r="AU91" s="25"/>
      <c r="AV91" s="12"/>
      <c r="AW91">
        <v>1</v>
      </c>
    </row>
    <row r="92" spans="1:49" x14ac:dyDescent="0.2">
      <c r="A92" s="37" t="s">
        <v>139</v>
      </c>
      <c r="B92" s="38" t="s">
        <v>47</v>
      </c>
      <c r="C92" s="38" t="s">
        <v>47</v>
      </c>
      <c r="D92" s="38" t="s">
        <v>46</v>
      </c>
      <c r="E92" s="38" t="s">
        <v>47</v>
      </c>
      <c r="F92" s="38" t="s">
        <v>48</v>
      </c>
      <c r="G92" s="38" t="s">
        <v>48</v>
      </c>
      <c r="H92" s="38" t="s">
        <v>46</v>
      </c>
      <c r="I92" s="38" t="s">
        <v>45</v>
      </c>
      <c r="J92" s="38" t="s">
        <v>46</v>
      </c>
      <c r="K92" s="38" t="s">
        <v>47</v>
      </c>
      <c r="L92" s="38" t="s">
        <v>45</v>
      </c>
      <c r="M92" s="38" t="s">
        <v>48</v>
      </c>
      <c r="N92" s="38" t="s">
        <v>45</v>
      </c>
      <c r="O92" s="38" t="s">
        <v>48</v>
      </c>
      <c r="P92" s="38" t="s">
        <v>45</v>
      </c>
      <c r="Q92" s="38" t="s">
        <v>48</v>
      </c>
      <c r="R92" s="38" t="s">
        <v>48</v>
      </c>
      <c r="S92" s="38" t="s">
        <v>48</v>
      </c>
      <c r="T92" s="38" t="s">
        <v>46</v>
      </c>
      <c r="U92" s="38" t="s">
        <v>48</v>
      </c>
      <c r="V92" s="37">
        <v>1</v>
      </c>
      <c r="W92" s="37">
        <v>1</v>
      </c>
      <c r="X92" s="37">
        <v>1</v>
      </c>
      <c r="Y92" s="37">
        <v>0</v>
      </c>
      <c r="Z92" s="37">
        <v>0</v>
      </c>
      <c r="AA92" s="37">
        <v>1</v>
      </c>
      <c r="AB92" s="37">
        <v>0</v>
      </c>
      <c r="AC92" s="37">
        <v>0</v>
      </c>
      <c r="AD92" s="37">
        <v>0</v>
      </c>
      <c r="AE92" s="37">
        <v>0</v>
      </c>
      <c r="AF92" s="37">
        <v>1</v>
      </c>
      <c r="AG92" s="37">
        <v>0</v>
      </c>
      <c r="AH92" s="37">
        <v>0</v>
      </c>
      <c r="AI92" s="37">
        <v>1</v>
      </c>
      <c r="AJ92" s="37">
        <v>1</v>
      </c>
      <c r="AK92" s="37">
        <v>1</v>
      </c>
      <c r="AL92" s="37">
        <v>0</v>
      </c>
      <c r="AM92" s="37">
        <v>0</v>
      </c>
      <c r="AN92" s="37">
        <v>0</v>
      </c>
      <c r="AO92" s="37">
        <v>1</v>
      </c>
      <c r="AP92" s="39">
        <v>3.25</v>
      </c>
      <c r="AQ92" s="12"/>
      <c r="AR92" s="11"/>
      <c r="AS92" s="12"/>
      <c r="AT92" s="43" t="s">
        <v>42</v>
      </c>
      <c r="AU92" s="25"/>
      <c r="AV92" s="12"/>
      <c r="AW92">
        <v>1</v>
      </c>
    </row>
    <row r="93" spans="1:49" x14ac:dyDescent="0.2">
      <c r="A93" s="37" t="s">
        <v>140</v>
      </c>
      <c r="B93" s="38" t="s">
        <v>46</v>
      </c>
      <c r="C93" s="38" t="s">
        <v>45</v>
      </c>
      <c r="D93" s="38" t="s">
        <v>47</v>
      </c>
      <c r="E93" s="38" t="s">
        <v>45</v>
      </c>
      <c r="F93" s="38" t="s">
        <v>46</v>
      </c>
      <c r="G93" s="38" t="s">
        <v>48</v>
      </c>
      <c r="H93" s="38" t="s">
        <v>47</v>
      </c>
      <c r="I93" s="38" t="s">
        <v>45</v>
      </c>
      <c r="J93" s="38" t="s">
        <v>46</v>
      </c>
      <c r="K93" s="38" t="s">
        <v>47</v>
      </c>
      <c r="L93" s="38" t="s">
        <v>47</v>
      </c>
      <c r="M93" s="38" t="s">
        <v>48</v>
      </c>
      <c r="N93" s="38" t="s">
        <v>46</v>
      </c>
      <c r="O93" s="38" t="s">
        <v>45</v>
      </c>
      <c r="P93" s="38" t="s">
        <v>46</v>
      </c>
      <c r="Q93" s="38" t="s">
        <v>47</v>
      </c>
      <c r="R93" s="38" t="s">
        <v>47</v>
      </c>
      <c r="S93" s="38" t="s">
        <v>48</v>
      </c>
      <c r="T93" s="38" t="s">
        <v>46</v>
      </c>
      <c r="U93" s="38" t="s">
        <v>45</v>
      </c>
      <c r="V93" s="37">
        <v>0</v>
      </c>
      <c r="W93" s="37">
        <v>0</v>
      </c>
      <c r="X93" s="37">
        <v>0</v>
      </c>
      <c r="Y93" s="37">
        <v>0</v>
      </c>
      <c r="Z93" s="37">
        <v>1</v>
      </c>
      <c r="AA93" s="37">
        <v>1</v>
      </c>
      <c r="AB93" s="37">
        <v>1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1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9">
        <v>2</v>
      </c>
      <c r="AQ93" s="12"/>
      <c r="AR93" s="11"/>
      <c r="AS93" s="12"/>
      <c r="AT93" s="43" t="s">
        <v>42</v>
      </c>
      <c r="AU93" s="25"/>
      <c r="AV93" s="12"/>
      <c r="AW93">
        <v>1</v>
      </c>
    </row>
    <row r="94" spans="1:49" x14ac:dyDescent="0.2">
      <c r="A94" t="s">
        <v>144</v>
      </c>
      <c r="B94" s="22" t="s">
        <v>48</v>
      </c>
      <c r="C94" s="22" t="s">
        <v>47</v>
      </c>
      <c r="D94" s="22" t="s">
        <v>46</v>
      </c>
      <c r="E94" s="22" t="s">
        <v>49</v>
      </c>
      <c r="F94" s="22" t="s">
        <v>47</v>
      </c>
      <c r="G94" s="22" t="s">
        <v>45</v>
      </c>
      <c r="H94" s="22" t="s">
        <v>46</v>
      </c>
      <c r="I94" s="22" t="s">
        <v>46</v>
      </c>
      <c r="J94" s="22" t="s">
        <v>45</v>
      </c>
      <c r="K94" s="22" t="s">
        <v>45</v>
      </c>
      <c r="L94" s="22" t="s">
        <v>46</v>
      </c>
      <c r="M94" s="22" t="s">
        <v>49</v>
      </c>
      <c r="N94" s="22" t="s">
        <v>49</v>
      </c>
      <c r="O94" s="22" t="s">
        <v>48</v>
      </c>
      <c r="P94" s="22" t="s">
        <v>45</v>
      </c>
      <c r="Q94" s="22" t="s">
        <v>46</v>
      </c>
      <c r="R94" s="22" t="s">
        <v>47</v>
      </c>
      <c r="S94" s="22" t="s">
        <v>48</v>
      </c>
      <c r="T94" s="22" t="s">
        <v>49</v>
      </c>
      <c r="U94" s="22" t="s">
        <v>45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1</v>
      </c>
      <c r="AK94">
        <v>1</v>
      </c>
      <c r="AL94">
        <v>0</v>
      </c>
      <c r="AM94">
        <v>1</v>
      </c>
      <c r="AN94">
        <v>1</v>
      </c>
      <c r="AO94">
        <v>1</v>
      </c>
      <c r="AP94" s="40">
        <v>3.75</v>
      </c>
      <c r="AR94" s="10"/>
      <c r="AT94" t="s">
        <v>141</v>
      </c>
      <c r="AU94" s="9"/>
      <c r="AW94">
        <v>1</v>
      </c>
    </row>
    <row r="95" spans="1:49" x14ac:dyDescent="0.2">
      <c r="A95" t="s">
        <v>146</v>
      </c>
      <c r="B95" s="22" t="s">
        <v>48</v>
      </c>
      <c r="C95" s="22" t="s">
        <v>47</v>
      </c>
      <c r="D95" s="22" t="s">
        <v>47</v>
      </c>
      <c r="E95" s="22" t="s">
        <v>49</v>
      </c>
      <c r="F95" s="22" t="s">
        <v>47</v>
      </c>
      <c r="G95" s="22" t="s">
        <v>45</v>
      </c>
      <c r="H95" s="22" t="s">
        <v>48</v>
      </c>
      <c r="I95" s="22" t="s">
        <v>46</v>
      </c>
      <c r="J95" s="22" t="s">
        <v>47</v>
      </c>
      <c r="K95" s="22" t="s">
        <v>48</v>
      </c>
      <c r="L95" s="22" t="s">
        <v>46</v>
      </c>
      <c r="M95" s="22" t="s">
        <v>49</v>
      </c>
      <c r="N95" s="22" t="s">
        <v>49</v>
      </c>
      <c r="O95" s="22" t="s">
        <v>47</v>
      </c>
      <c r="P95" s="22" t="s">
        <v>45</v>
      </c>
      <c r="Q95" s="22" t="s">
        <v>46</v>
      </c>
      <c r="R95" s="22" t="s">
        <v>46</v>
      </c>
      <c r="S95" s="22" t="s">
        <v>6</v>
      </c>
      <c r="T95" s="22" t="s">
        <v>49</v>
      </c>
      <c r="U95" s="22" t="s">
        <v>46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1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1</v>
      </c>
      <c r="AO95">
        <v>0</v>
      </c>
      <c r="AP95" s="13">
        <v>3</v>
      </c>
      <c r="AR95" s="10"/>
      <c r="AT95" t="s">
        <v>141</v>
      </c>
      <c r="AU95" s="9"/>
      <c r="AW95">
        <v>1</v>
      </c>
    </row>
    <row r="96" spans="1:49" x14ac:dyDescent="0.2">
      <c r="A96" t="s">
        <v>147</v>
      </c>
      <c r="B96" s="22" t="s">
        <v>45</v>
      </c>
      <c r="C96" s="22" t="s">
        <v>45</v>
      </c>
      <c r="D96" s="22" t="s">
        <v>45</v>
      </c>
      <c r="E96" s="22" t="s">
        <v>49</v>
      </c>
      <c r="F96" s="22" t="s">
        <v>47</v>
      </c>
      <c r="G96" s="22" t="s">
        <v>46</v>
      </c>
      <c r="H96" s="22" t="s">
        <v>48</v>
      </c>
      <c r="I96" s="22" t="s">
        <v>46</v>
      </c>
      <c r="J96" s="22" t="s">
        <v>45</v>
      </c>
      <c r="K96" s="22" t="s">
        <v>47</v>
      </c>
      <c r="L96" s="22" t="s">
        <v>45</v>
      </c>
      <c r="M96" s="22" t="s">
        <v>49</v>
      </c>
      <c r="N96" s="22" t="s">
        <v>49</v>
      </c>
      <c r="O96" s="22" t="s">
        <v>47</v>
      </c>
      <c r="P96" s="22" t="s">
        <v>45</v>
      </c>
      <c r="Q96" s="22" t="s">
        <v>47</v>
      </c>
      <c r="R96" s="22" t="s">
        <v>46</v>
      </c>
      <c r="S96" s="22" t="s">
        <v>45</v>
      </c>
      <c r="T96" s="22" t="s">
        <v>49</v>
      </c>
      <c r="U96" s="22" t="s">
        <v>48</v>
      </c>
      <c r="V96">
        <v>1</v>
      </c>
      <c r="W96">
        <v>1</v>
      </c>
      <c r="X96">
        <v>0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1</v>
      </c>
      <c r="AO96">
        <v>0</v>
      </c>
      <c r="AP96" s="13">
        <v>3.5</v>
      </c>
      <c r="AR96" s="10"/>
      <c r="AT96" t="s">
        <v>141</v>
      </c>
      <c r="AU96" s="9"/>
      <c r="AW96">
        <v>1</v>
      </c>
    </row>
    <row r="97" spans="1:49" x14ac:dyDescent="0.2">
      <c r="A97" t="s">
        <v>148</v>
      </c>
      <c r="B97" s="22" t="s">
        <v>47</v>
      </c>
      <c r="C97" s="22" t="s">
        <v>47</v>
      </c>
      <c r="D97" s="22" t="s">
        <v>47</v>
      </c>
      <c r="E97" s="22" t="s">
        <v>49</v>
      </c>
      <c r="F97" s="22" t="s">
        <v>47</v>
      </c>
      <c r="G97" s="22" t="s">
        <v>45</v>
      </c>
      <c r="H97" s="22" t="s">
        <v>47</v>
      </c>
      <c r="I97" s="22" t="s">
        <v>47</v>
      </c>
      <c r="J97" s="22" t="s">
        <v>47</v>
      </c>
      <c r="K97" s="22" t="s">
        <v>48</v>
      </c>
      <c r="L97" s="22" t="s">
        <v>46</v>
      </c>
      <c r="M97" s="22" t="s">
        <v>49</v>
      </c>
      <c r="N97" s="22" t="s">
        <v>49</v>
      </c>
      <c r="O97" s="22" t="s">
        <v>47</v>
      </c>
      <c r="P97" s="22" t="s">
        <v>45</v>
      </c>
      <c r="Q97" s="22" t="s">
        <v>48</v>
      </c>
      <c r="R97" s="22" t="s">
        <v>47</v>
      </c>
      <c r="S97" s="22" t="s">
        <v>45</v>
      </c>
      <c r="T97" s="22" t="s">
        <v>49</v>
      </c>
      <c r="U97" s="22" t="s">
        <v>48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0</v>
      </c>
      <c r="AP97" s="13">
        <v>3</v>
      </c>
      <c r="AR97" s="10"/>
      <c r="AT97" t="s">
        <v>141</v>
      </c>
      <c r="AU97" s="9"/>
      <c r="AW97">
        <v>1</v>
      </c>
    </row>
    <row r="98" spans="1:49" x14ac:dyDescent="0.2">
      <c r="A98" t="s">
        <v>149</v>
      </c>
      <c r="B98" s="22" t="s">
        <v>47</v>
      </c>
      <c r="C98" s="22" t="s">
        <v>45</v>
      </c>
      <c r="D98" s="22" t="s">
        <v>47</v>
      </c>
      <c r="E98" s="22" t="s">
        <v>49</v>
      </c>
      <c r="F98" s="22" t="s">
        <v>46</v>
      </c>
      <c r="G98" s="22" t="s">
        <v>46</v>
      </c>
      <c r="H98" s="22" t="s">
        <v>47</v>
      </c>
      <c r="I98" s="22" t="s">
        <v>46</v>
      </c>
      <c r="J98" s="22" t="s">
        <v>48</v>
      </c>
      <c r="K98" s="22" t="s">
        <v>48</v>
      </c>
      <c r="L98" s="22" t="s">
        <v>47</v>
      </c>
      <c r="M98" s="22" t="s">
        <v>49</v>
      </c>
      <c r="N98" s="22" t="s">
        <v>49</v>
      </c>
      <c r="O98" s="22" t="s">
        <v>48</v>
      </c>
      <c r="P98" s="22" t="s">
        <v>47</v>
      </c>
      <c r="Q98" s="22" t="s">
        <v>47</v>
      </c>
      <c r="R98" s="22" t="s">
        <v>48</v>
      </c>
      <c r="S98" s="22" t="s">
        <v>45</v>
      </c>
      <c r="T98" s="22" t="s">
        <v>49</v>
      </c>
      <c r="U98" s="22" t="s">
        <v>48</v>
      </c>
      <c r="V98">
        <v>0</v>
      </c>
      <c r="W98">
        <v>1</v>
      </c>
      <c r="X98">
        <v>0</v>
      </c>
      <c r="Y98">
        <v>1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 s="13">
        <v>2.75</v>
      </c>
      <c r="AR98" s="10"/>
      <c r="AT98" t="s">
        <v>141</v>
      </c>
      <c r="AU98" s="9"/>
      <c r="AW98">
        <v>1</v>
      </c>
    </row>
    <row r="99" spans="1:49" x14ac:dyDescent="0.2">
      <c r="A99" t="s">
        <v>150</v>
      </c>
      <c r="B99" t="s">
        <v>46</v>
      </c>
      <c r="C99" t="s">
        <v>46</v>
      </c>
      <c r="D99" t="s">
        <v>47</v>
      </c>
      <c r="E99" t="s">
        <v>49</v>
      </c>
      <c r="F99" t="s">
        <v>45</v>
      </c>
      <c r="G99" t="s">
        <v>46</v>
      </c>
      <c r="H99" t="s">
        <v>45</v>
      </c>
      <c r="I99" t="s">
        <v>45</v>
      </c>
      <c r="J99" t="s">
        <v>48</v>
      </c>
      <c r="K99" t="s">
        <v>47</v>
      </c>
      <c r="L99" t="s">
        <v>47</v>
      </c>
      <c r="M99" t="s">
        <v>49</v>
      </c>
      <c r="N99" t="s">
        <v>49</v>
      </c>
      <c r="O99" t="s">
        <v>46</v>
      </c>
      <c r="P99" t="s">
        <v>45</v>
      </c>
      <c r="Q99" t="s">
        <v>45</v>
      </c>
      <c r="R99" t="s">
        <v>46</v>
      </c>
      <c r="S99" t="s">
        <v>47</v>
      </c>
      <c r="T99" t="s">
        <v>49</v>
      </c>
      <c r="U99" t="s">
        <v>48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 s="13">
        <v>2.5</v>
      </c>
      <c r="AR99" s="10"/>
      <c r="AT99" t="s">
        <v>141</v>
      </c>
      <c r="AU99" s="9"/>
      <c r="AW99">
        <v>1</v>
      </c>
    </row>
    <row r="100" spans="1:49" x14ac:dyDescent="0.2">
      <c r="A100" t="s">
        <v>151</v>
      </c>
      <c r="B100" t="s">
        <v>48</v>
      </c>
      <c r="C100" t="s">
        <v>48</v>
      </c>
      <c r="D100" t="s">
        <v>47</v>
      </c>
      <c r="E100" t="s">
        <v>49</v>
      </c>
      <c r="F100" t="s">
        <v>45</v>
      </c>
      <c r="G100" t="s">
        <v>46</v>
      </c>
      <c r="H100" t="s">
        <v>45</v>
      </c>
      <c r="I100" t="s">
        <v>45</v>
      </c>
      <c r="J100" t="s">
        <v>48</v>
      </c>
      <c r="K100" t="s">
        <v>48</v>
      </c>
      <c r="L100" t="s">
        <v>46</v>
      </c>
      <c r="M100" t="s">
        <v>49</v>
      </c>
      <c r="N100" t="s">
        <v>49</v>
      </c>
      <c r="O100" t="s">
        <v>46</v>
      </c>
      <c r="P100" t="s">
        <v>145</v>
      </c>
      <c r="Q100" t="s">
        <v>46</v>
      </c>
      <c r="R100" t="s">
        <v>45</v>
      </c>
      <c r="S100" t="s">
        <v>48</v>
      </c>
      <c r="T100" t="s">
        <v>49</v>
      </c>
      <c r="U100" t="s">
        <v>45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1</v>
      </c>
      <c r="AO100">
        <v>1</v>
      </c>
      <c r="AP100" s="13">
        <v>3.25</v>
      </c>
      <c r="AR100" s="10"/>
      <c r="AT100" t="s">
        <v>141</v>
      </c>
      <c r="AU100" s="9"/>
      <c r="AW100">
        <v>1</v>
      </c>
    </row>
    <row r="101" spans="1:49" x14ac:dyDescent="0.2">
      <c r="A101" t="s">
        <v>152</v>
      </c>
      <c r="B101" t="s">
        <v>47</v>
      </c>
      <c r="C101" t="s">
        <v>45</v>
      </c>
      <c r="D101" t="s">
        <v>45</v>
      </c>
      <c r="E101" t="s">
        <v>49</v>
      </c>
      <c r="F101" t="s">
        <v>47</v>
      </c>
      <c r="G101" t="s">
        <v>45</v>
      </c>
      <c r="H101" t="s">
        <v>46</v>
      </c>
      <c r="I101" t="s">
        <v>45</v>
      </c>
      <c r="J101" t="s">
        <v>45</v>
      </c>
      <c r="K101" t="s">
        <v>46</v>
      </c>
      <c r="L101" t="s">
        <v>46</v>
      </c>
      <c r="M101" t="s">
        <v>49</v>
      </c>
      <c r="N101" t="s">
        <v>49</v>
      </c>
      <c r="O101" t="s">
        <v>47</v>
      </c>
      <c r="P101" t="s">
        <v>45</v>
      </c>
      <c r="Q101" t="s">
        <v>45</v>
      </c>
      <c r="R101" t="s">
        <v>47</v>
      </c>
      <c r="S101" t="s">
        <v>47</v>
      </c>
      <c r="T101" t="s">
        <v>49</v>
      </c>
      <c r="U101" t="s">
        <v>45</v>
      </c>
      <c r="V101">
        <v>0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1</v>
      </c>
      <c r="AP101" s="13">
        <v>3</v>
      </c>
      <c r="AR101" s="10"/>
      <c r="AT101" t="s">
        <v>141</v>
      </c>
      <c r="AU101" s="9"/>
      <c r="AW101">
        <v>1</v>
      </c>
    </row>
    <row r="102" spans="1:49" x14ac:dyDescent="0.2">
      <c r="A102" t="s">
        <v>153</v>
      </c>
      <c r="B102" t="s">
        <v>45</v>
      </c>
      <c r="C102" t="s">
        <v>46</v>
      </c>
      <c r="D102" t="s">
        <v>46</v>
      </c>
      <c r="E102" t="s">
        <v>49</v>
      </c>
      <c r="F102" t="s">
        <v>45</v>
      </c>
      <c r="G102" t="s">
        <v>48</v>
      </c>
      <c r="H102" t="s">
        <v>45</v>
      </c>
      <c r="I102" t="s">
        <v>47</v>
      </c>
      <c r="J102" t="s">
        <v>48</v>
      </c>
      <c r="K102" t="s">
        <v>48</v>
      </c>
      <c r="L102" t="s">
        <v>47</v>
      </c>
      <c r="M102" t="s">
        <v>49</v>
      </c>
      <c r="N102" t="s">
        <v>49</v>
      </c>
      <c r="O102" t="s">
        <v>47</v>
      </c>
      <c r="P102" t="s">
        <v>46</v>
      </c>
      <c r="Q102" t="s">
        <v>45</v>
      </c>
      <c r="R102" t="s">
        <v>46</v>
      </c>
      <c r="S102" t="s">
        <v>45</v>
      </c>
      <c r="T102" t="s">
        <v>49</v>
      </c>
      <c r="U102" t="s">
        <v>48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 s="13">
        <v>2.5</v>
      </c>
      <c r="AR102" s="10"/>
      <c r="AT102" t="s">
        <v>141</v>
      </c>
      <c r="AU102" s="9"/>
      <c r="AW102">
        <v>1</v>
      </c>
    </row>
    <row r="103" spans="1:49" x14ac:dyDescent="0.2">
      <c r="A103" t="s">
        <v>154</v>
      </c>
      <c r="B103" t="s">
        <v>45</v>
      </c>
      <c r="C103" t="s">
        <v>46</v>
      </c>
      <c r="D103" t="s">
        <v>46</v>
      </c>
      <c r="E103" t="s">
        <v>49</v>
      </c>
      <c r="F103" t="s">
        <v>45</v>
      </c>
      <c r="G103" t="s">
        <v>48</v>
      </c>
      <c r="H103" t="s">
        <v>47</v>
      </c>
      <c r="I103" t="s">
        <v>48</v>
      </c>
      <c r="J103" t="s">
        <v>45</v>
      </c>
      <c r="K103" t="s">
        <v>46</v>
      </c>
      <c r="L103" t="s">
        <v>45</v>
      </c>
      <c r="M103" t="s">
        <v>49</v>
      </c>
      <c r="N103" t="s">
        <v>49</v>
      </c>
      <c r="O103" t="s">
        <v>45</v>
      </c>
      <c r="P103" t="s">
        <v>45</v>
      </c>
      <c r="Q103" t="s">
        <v>46</v>
      </c>
      <c r="R103" t="s">
        <v>48</v>
      </c>
      <c r="S103" t="s">
        <v>47</v>
      </c>
      <c r="T103" t="s">
        <v>49</v>
      </c>
      <c r="U103" t="s">
        <v>48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1</v>
      </c>
      <c r="AO103">
        <v>0</v>
      </c>
      <c r="AP103" s="13">
        <v>3.75</v>
      </c>
      <c r="AR103" s="10"/>
      <c r="AT103" t="s">
        <v>141</v>
      </c>
      <c r="AU103" s="9"/>
      <c r="AW103">
        <v>1</v>
      </c>
    </row>
    <row r="104" spans="1:49" x14ac:dyDescent="0.2">
      <c r="A104" t="s">
        <v>155</v>
      </c>
      <c r="B104" t="s">
        <v>45</v>
      </c>
      <c r="C104" t="s">
        <v>48</v>
      </c>
      <c r="D104" t="s">
        <v>45</v>
      </c>
      <c r="E104" t="s">
        <v>49</v>
      </c>
      <c r="F104" t="s">
        <v>45</v>
      </c>
      <c r="G104" t="s">
        <v>46</v>
      </c>
      <c r="H104" t="s">
        <v>46</v>
      </c>
      <c r="I104" t="s">
        <v>47</v>
      </c>
      <c r="J104" t="s">
        <v>47</v>
      </c>
      <c r="K104" t="s">
        <v>48</v>
      </c>
      <c r="L104" t="s">
        <v>47</v>
      </c>
      <c r="M104" t="s">
        <v>49</v>
      </c>
      <c r="N104" t="s">
        <v>49</v>
      </c>
      <c r="O104" t="s">
        <v>46</v>
      </c>
      <c r="P104" t="s">
        <v>46</v>
      </c>
      <c r="Q104" t="s">
        <v>47</v>
      </c>
      <c r="R104" t="s">
        <v>48</v>
      </c>
      <c r="S104" t="s">
        <v>47</v>
      </c>
      <c r="T104" t="s">
        <v>49</v>
      </c>
      <c r="U104" t="s">
        <v>48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 s="13">
        <v>2.75</v>
      </c>
      <c r="AR104" s="10"/>
      <c r="AT104" t="s">
        <v>141</v>
      </c>
      <c r="AU104" s="9"/>
      <c r="AW104">
        <v>1</v>
      </c>
    </row>
    <row r="105" spans="1:49" x14ac:dyDescent="0.2">
      <c r="A105" t="s">
        <v>156</v>
      </c>
      <c r="B105" t="s">
        <v>45</v>
      </c>
      <c r="C105" t="s">
        <v>45</v>
      </c>
      <c r="D105" t="s">
        <v>47</v>
      </c>
      <c r="E105" t="s">
        <v>49</v>
      </c>
      <c r="F105" t="s">
        <v>47</v>
      </c>
      <c r="G105" t="s">
        <v>48</v>
      </c>
      <c r="H105" t="s">
        <v>46</v>
      </c>
      <c r="I105" t="s">
        <v>45</v>
      </c>
      <c r="J105" t="s">
        <v>46</v>
      </c>
      <c r="K105" t="s">
        <v>48</v>
      </c>
      <c r="L105" t="s">
        <v>46</v>
      </c>
      <c r="M105" t="s">
        <v>49</v>
      </c>
      <c r="N105" t="s">
        <v>49</v>
      </c>
      <c r="O105" t="s">
        <v>48</v>
      </c>
      <c r="P105" t="s">
        <v>47</v>
      </c>
      <c r="Q105" t="s">
        <v>45</v>
      </c>
      <c r="R105" t="s">
        <v>46</v>
      </c>
      <c r="S105" t="s">
        <v>45</v>
      </c>
      <c r="T105" t="s">
        <v>49</v>
      </c>
      <c r="U105" t="s">
        <v>48</v>
      </c>
      <c r="V105">
        <v>1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 s="13">
        <v>2.75</v>
      </c>
      <c r="AR105" s="10"/>
      <c r="AT105" t="s">
        <v>141</v>
      </c>
      <c r="AU105" s="9"/>
      <c r="AW105">
        <v>1</v>
      </c>
    </row>
    <row r="106" spans="1:49" x14ac:dyDescent="0.2">
      <c r="A106" t="s">
        <v>157</v>
      </c>
      <c r="B106" t="s">
        <v>45</v>
      </c>
      <c r="C106" t="s">
        <v>45</v>
      </c>
      <c r="D106" t="s">
        <v>47</v>
      </c>
      <c r="E106" t="s">
        <v>49</v>
      </c>
      <c r="F106" t="s">
        <v>47</v>
      </c>
      <c r="G106" t="s">
        <v>46</v>
      </c>
      <c r="H106" t="s">
        <v>48</v>
      </c>
      <c r="I106" t="s">
        <v>45</v>
      </c>
      <c r="J106" t="s">
        <v>48</v>
      </c>
      <c r="K106" t="s">
        <v>45</v>
      </c>
      <c r="L106" t="s">
        <v>45</v>
      </c>
      <c r="M106" t="s">
        <v>49</v>
      </c>
      <c r="N106" t="s">
        <v>49</v>
      </c>
      <c r="O106" t="s">
        <v>46</v>
      </c>
      <c r="P106" t="s">
        <v>45</v>
      </c>
      <c r="Q106" t="s">
        <v>45</v>
      </c>
      <c r="R106" t="s">
        <v>48</v>
      </c>
      <c r="S106" t="s">
        <v>45</v>
      </c>
      <c r="T106" t="s">
        <v>49</v>
      </c>
      <c r="U106" t="s">
        <v>48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 s="13">
        <v>3.75</v>
      </c>
      <c r="AR106" s="10"/>
      <c r="AT106" t="s">
        <v>141</v>
      </c>
      <c r="AU106" s="9"/>
      <c r="AW106">
        <v>1</v>
      </c>
    </row>
    <row r="107" spans="1:49" x14ac:dyDescent="0.2">
      <c r="A107" t="s">
        <v>158</v>
      </c>
      <c r="B107" t="s">
        <v>47</v>
      </c>
      <c r="C107" t="s">
        <v>46</v>
      </c>
      <c r="D107" t="s">
        <v>46</v>
      </c>
      <c r="E107" t="s">
        <v>49</v>
      </c>
      <c r="F107" t="s">
        <v>47</v>
      </c>
      <c r="G107" t="s">
        <v>46</v>
      </c>
      <c r="H107" t="s">
        <v>45</v>
      </c>
      <c r="I107" t="s">
        <v>45</v>
      </c>
      <c r="J107" t="s">
        <v>48</v>
      </c>
      <c r="K107" t="s">
        <v>46</v>
      </c>
      <c r="L107" t="s">
        <v>45</v>
      </c>
      <c r="M107" t="s">
        <v>49</v>
      </c>
      <c r="N107" t="s">
        <v>49</v>
      </c>
      <c r="O107" t="s">
        <v>48</v>
      </c>
      <c r="P107" t="s">
        <v>47</v>
      </c>
      <c r="Q107" t="s">
        <v>45</v>
      </c>
      <c r="R107" t="s">
        <v>45</v>
      </c>
      <c r="S107" t="s">
        <v>47</v>
      </c>
      <c r="T107" t="s">
        <v>49</v>
      </c>
      <c r="U107" t="s">
        <v>46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0</v>
      </c>
      <c r="AP107" s="13">
        <v>3.25</v>
      </c>
      <c r="AR107" s="10"/>
      <c r="AT107" t="s">
        <v>141</v>
      </c>
      <c r="AU107" s="9"/>
      <c r="AW107">
        <v>1</v>
      </c>
    </row>
    <row r="108" spans="1:49" x14ac:dyDescent="0.2">
      <c r="A108" t="s">
        <v>159</v>
      </c>
      <c r="B108" t="s">
        <v>45</v>
      </c>
      <c r="C108" t="s">
        <v>45</v>
      </c>
      <c r="D108" t="s">
        <v>47</v>
      </c>
      <c r="E108" t="s">
        <v>49</v>
      </c>
      <c r="F108" t="s">
        <v>48</v>
      </c>
      <c r="G108" t="s">
        <v>45</v>
      </c>
      <c r="H108" t="s">
        <v>46</v>
      </c>
      <c r="I108" t="s">
        <v>47</v>
      </c>
      <c r="J108" t="s">
        <v>47</v>
      </c>
      <c r="K108" t="s">
        <v>46</v>
      </c>
      <c r="L108" t="s">
        <v>48</v>
      </c>
      <c r="M108" t="s">
        <v>49</v>
      </c>
      <c r="N108" t="s">
        <v>49</v>
      </c>
      <c r="O108" t="s">
        <v>45</v>
      </c>
      <c r="P108" t="s">
        <v>45</v>
      </c>
      <c r="Q108" t="s">
        <v>45</v>
      </c>
      <c r="R108" t="s">
        <v>48</v>
      </c>
      <c r="S108" t="s">
        <v>48</v>
      </c>
      <c r="T108" t="s">
        <v>49</v>
      </c>
      <c r="U108" t="s">
        <v>48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0</v>
      </c>
      <c r="AP108" s="13">
        <v>3.25</v>
      </c>
      <c r="AR108" s="10"/>
      <c r="AT108" t="s">
        <v>141</v>
      </c>
      <c r="AU108" s="9"/>
      <c r="AW108">
        <v>1</v>
      </c>
    </row>
    <row r="109" spans="1:49" x14ac:dyDescent="0.2">
      <c r="A109" t="s">
        <v>160</v>
      </c>
      <c r="B109" t="s">
        <v>48</v>
      </c>
      <c r="C109" t="s">
        <v>47</v>
      </c>
      <c r="D109" t="s">
        <v>46</v>
      </c>
      <c r="E109" t="s">
        <v>49</v>
      </c>
      <c r="F109" t="s">
        <v>46</v>
      </c>
      <c r="G109" t="s">
        <v>45</v>
      </c>
      <c r="H109" t="s">
        <v>45</v>
      </c>
      <c r="I109" t="s">
        <v>48</v>
      </c>
      <c r="J109" t="s">
        <v>45</v>
      </c>
      <c r="K109" t="s">
        <v>46</v>
      </c>
      <c r="L109" t="s">
        <v>47</v>
      </c>
      <c r="M109" t="s">
        <v>49</v>
      </c>
      <c r="N109" t="s">
        <v>49</v>
      </c>
      <c r="O109" t="s">
        <v>47</v>
      </c>
      <c r="P109" t="s">
        <v>48</v>
      </c>
      <c r="Q109" t="s">
        <v>45</v>
      </c>
      <c r="R109" t="s">
        <v>48</v>
      </c>
      <c r="S109" t="s">
        <v>45</v>
      </c>
      <c r="T109" t="s">
        <v>49</v>
      </c>
      <c r="U109" t="s">
        <v>48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 s="13">
        <v>2.5</v>
      </c>
      <c r="AR109" s="10"/>
      <c r="AT109" t="s">
        <v>141</v>
      </c>
      <c r="AU109" s="9"/>
      <c r="AW109">
        <v>1</v>
      </c>
    </row>
    <row r="110" spans="1:49" x14ac:dyDescent="0.2">
      <c r="A110" t="s">
        <v>161</v>
      </c>
      <c r="B110" t="s">
        <v>48</v>
      </c>
      <c r="C110" t="s">
        <v>47</v>
      </c>
      <c r="D110" t="s">
        <v>46</v>
      </c>
      <c r="E110" t="s">
        <v>49</v>
      </c>
      <c r="F110" t="s">
        <v>46</v>
      </c>
      <c r="G110" t="s">
        <v>46</v>
      </c>
      <c r="H110" t="s">
        <v>45</v>
      </c>
      <c r="I110" t="s">
        <v>48</v>
      </c>
      <c r="J110" t="s">
        <v>48</v>
      </c>
      <c r="K110" t="s">
        <v>48</v>
      </c>
      <c r="L110" t="s">
        <v>46</v>
      </c>
      <c r="M110" t="s">
        <v>49</v>
      </c>
      <c r="N110" t="s">
        <v>49</v>
      </c>
      <c r="O110" t="s">
        <v>47</v>
      </c>
      <c r="P110" t="s">
        <v>46</v>
      </c>
      <c r="Q110" t="s">
        <v>45</v>
      </c>
      <c r="R110" t="s">
        <v>46</v>
      </c>
      <c r="S110" t="s">
        <v>45</v>
      </c>
      <c r="T110" t="s">
        <v>49</v>
      </c>
      <c r="U110" t="s">
        <v>48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 s="13">
        <v>2.75</v>
      </c>
      <c r="AR110" s="10"/>
      <c r="AT110" t="s">
        <v>141</v>
      </c>
      <c r="AU110" s="9"/>
      <c r="AW110">
        <v>1</v>
      </c>
    </row>
    <row r="111" spans="1:49" x14ac:dyDescent="0.2">
      <c r="A111" t="s">
        <v>162</v>
      </c>
      <c r="B111" t="s">
        <v>46</v>
      </c>
      <c r="C111" t="s">
        <v>47</v>
      </c>
      <c r="D111" t="s">
        <v>47</v>
      </c>
      <c r="E111" t="s">
        <v>49</v>
      </c>
      <c r="F111" t="s">
        <v>47</v>
      </c>
      <c r="G111" t="s">
        <v>47</v>
      </c>
      <c r="H111" t="s">
        <v>45</v>
      </c>
      <c r="I111" t="s">
        <v>48</v>
      </c>
      <c r="J111" t="s">
        <v>47</v>
      </c>
      <c r="K111" t="s">
        <v>47</v>
      </c>
      <c r="L111" t="s">
        <v>48</v>
      </c>
      <c r="M111" t="s">
        <v>49</v>
      </c>
      <c r="N111" t="s">
        <v>49</v>
      </c>
      <c r="O111" t="s">
        <v>47</v>
      </c>
      <c r="P111" t="s">
        <v>46</v>
      </c>
      <c r="Q111" t="s">
        <v>6</v>
      </c>
      <c r="R111" t="s">
        <v>46</v>
      </c>
      <c r="S111" t="s">
        <v>47</v>
      </c>
      <c r="T111" t="s">
        <v>49</v>
      </c>
      <c r="U111" t="s">
        <v>46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 s="13">
        <v>2.75</v>
      </c>
      <c r="AR111" s="10"/>
      <c r="AT111" t="s">
        <v>141</v>
      </c>
      <c r="AU111" s="9"/>
      <c r="AW111">
        <v>1</v>
      </c>
    </row>
    <row r="112" spans="1:49" x14ac:dyDescent="0.2">
      <c r="A112" t="s">
        <v>163</v>
      </c>
      <c r="B112" t="s">
        <v>46</v>
      </c>
      <c r="C112" t="s">
        <v>45</v>
      </c>
      <c r="D112" t="s">
        <v>47</v>
      </c>
      <c r="E112" t="s">
        <v>49</v>
      </c>
      <c r="F112" t="s">
        <v>45</v>
      </c>
      <c r="G112" t="s">
        <v>46</v>
      </c>
      <c r="H112" t="s">
        <v>48</v>
      </c>
      <c r="I112" t="s">
        <v>48</v>
      </c>
      <c r="J112" t="s">
        <v>46</v>
      </c>
      <c r="K112" t="s">
        <v>47</v>
      </c>
      <c r="L112" t="s">
        <v>46</v>
      </c>
      <c r="M112" t="s">
        <v>49</v>
      </c>
      <c r="N112" t="s">
        <v>49</v>
      </c>
      <c r="O112" t="s">
        <v>47</v>
      </c>
      <c r="P112" t="s">
        <v>46</v>
      </c>
      <c r="Q112" t="s">
        <v>48</v>
      </c>
      <c r="R112" t="s">
        <v>48</v>
      </c>
      <c r="S112" t="s">
        <v>47</v>
      </c>
      <c r="T112" t="s">
        <v>49</v>
      </c>
      <c r="U112" t="s">
        <v>46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 s="13">
        <v>2.75</v>
      </c>
      <c r="AR112" s="10"/>
      <c r="AT112" t="s">
        <v>141</v>
      </c>
      <c r="AU112" s="9"/>
      <c r="AW112">
        <v>1</v>
      </c>
    </row>
    <row r="113" spans="1:49" x14ac:dyDescent="0.2">
      <c r="A113" t="s">
        <v>164</v>
      </c>
      <c r="B113" t="s">
        <v>46</v>
      </c>
      <c r="C113" t="s">
        <v>47</v>
      </c>
      <c r="D113" t="s">
        <v>46</v>
      </c>
      <c r="E113" t="s">
        <v>49</v>
      </c>
      <c r="F113" t="s">
        <v>46</v>
      </c>
      <c r="G113" t="s">
        <v>45</v>
      </c>
      <c r="H113" t="s">
        <v>47</v>
      </c>
      <c r="I113" t="s">
        <v>45</v>
      </c>
      <c r="J113" t="s">
        <v>46</v>
      </c>
      <c r="K113" t="s">
        <v>45</v>
      </c>
      <c r="L113" t="s">
        <v>47</v>
      </c>
      <c r="M113" t="s">
        <v>49</v>
      </c>
      <c r="N113" t="s">
        <v>49</v>
      </c>
      <c r="O113" t="s">
        <v>48</v>
      </c>
      <c r="P113" t="s">
        <v>45</v>
      </c>
      <c r="Q113" t="s">
        <v>47</v>
      </c>
      <c r="R113" t="s">
        <v>46</v>
      </c>
      <c r="S113" t="s">
        <v>45</v>
      </c>
      <c r="T113" t="s">
        <v>49</v>
      </c>
      <c r="U113" t="s">
        <v>45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1</v>
      </c>
      <c r="AO113">
        <v>1</v>
      </c>
      <c r="AP113" s="13">
        <v>3.25</v>
      </c>
      <c r="AR113" s="10"/>
      <c r="AT113" t="s">
        <v>141</v>
      </c>
      <c r="AU113" s="9"/>
      <c r="AW113">
        <v>1</v>
      </c>
    </row>
    <row r="114" spans="1:49" x14ac:dyDescent="0.2">
      <c r="A114" t="s">
        <v>165</v>
      </c>
      <c r="B114" t="s">
        <v>45</v>
      </c>
      <c r="C114" t="s">
        <v>47</v>
      </c>
      <c r="D114" t="s">
        <v>47</v>
      </c>
      <c r="E114" t="s">
        <v>49</v>
      </c>
      <c r="F114" t="s">
        <v>47</v>
      </c>
      <c r="G114" t="s">
        <v>48</v>
      </c>
      <c r="H114" t="s">
        <v>46</v>
      </c>
      <c r="I114" t="s">
        <v>48</v>
      </c>
      <c r="J114" t="s">
        <v>47</v>
      </c>
      <c r="K114" t="s">
        <v>48</v>
      </c>
      <c r="L114" t="s">
        <v>45</v>
      </c>
      <c r="M114" t="s">
        <v>49</v>
      </c>
      <c r="N114" t="s">
        <v>49</v>
      </c>
      <c r="O114" t="s">
        <v>48</v>
      </c>
      <c r="P114" t="s">
        <v>45</v>
      </c>
      <c r="Q114" t="s">
        <v>46</v>
      </c>
      <c r="R114" t="s">
        <v>47</v>
      </c>
      <c r="S114" t="s">
        <v>47</v>
      </c>
      <c r="T114" t="s">
        <v>49</v>
      </c>
      <c r="U114" t="s">
        <v>48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1</v>
      </c>
      <c r="AH114">
        <v>1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0</v>
      </c>
      <c r="AP114" s="13">
        <v>3.75</v>
      </c>
      <c r="AR114" s="10"/>
      <c r="AT114" t="s">
        <v>141</v>
      </c>
      <c r="AU114" s="9"/>
      <c r="AW114">
        <v>1</v>
      </c>
    </row>
    <row r="115" spans="1:49" x14ac:dyDescent="0.2">
      <c r="A115" t="s">
        <v>166</v>
      </c>
      <c r="B115" t="s">
        <v>45</v>
      </c>
      <c r="C115" t="s">
        <v>47</v>
      </c>
      <c r="D115" t="s">
        <v>47</v>
      </c>
      <c r="E115" t="s">
        <v>49</v>
      </c>
      <c r="F115" t="s">
        <v>46</v>
      </c>
      <c r="G115" t="s">
        <v>45</v>
      </c>
      <c r="H115" t="s">
        <v>47</v>
      </c>
      <c r="I115" t="s">
        <v>45</v>
      </c>
      <c r="J115" t="s">
        <v>45</v>
      </c>
      <c r="K115" t="s">
        <v>47</v>
      </c>
      <c r="L115" t="s">
        <v>48</v>
      </c>
      <c r="M115" t="s">
        <v>49</v>
      </c>
      <c r="N115" t="s">
        <v>49</v>
      </c>
      <c r="O115" t="s">
        <v>45</v>
      </c>
      <c r="P115" t="s">
        <v>45</v>
      </c>
      <c r="Q115" t="s">
        <v>45</v>
      </c>
      <c r="R115" t="s">
        <v>47</v>
      </c>
      <c r="S115" t="s">
        <v>45</v>
      </c>
      <c r="T115" t="s">
        <v>49</v>
      </c>
      <c r="U115" t="s">
        <v>48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 s="13">
        <v>2.75</v>
      </c>
      <c r="AR115" s="10"/>
      <c r="AT115" t="s">
        <v>141</v>
      </c>
      <c r="AU115" s="9"/>
      <c r="AW115">
        <v>1</v>
      </c>
    </row>
    <row r="116" spans="1:49" x14ac:dyDescent="0.2">
      <c r="A116" t="s">
        <v>167</v>
      </c>
      <c r="B116" t="s">
        <v>46</v>
      </c>
      <c r="C116" t="s">
        <v>47</v>
      </c>
      <c r="D116" t="s">
        <v>47</v>
      </c>
      <c r="E116" t="s">
        <v>49</v>
      </c>
      <c r="F116" t="s">
        <v>46</v>
      </c>
      <c r="G116" t="s">
        <v>45</v>
      </c>
      <c r="H116" t="s">
        <v>46</v>
      </c>
      <c r="I116" t="s">
        <v>47</v>
      </c>
      <c r="J116" t="s">
        <v>48</v>
      </c>
      <c r="K116" t="s">
        <v>48</v>
      </c>
      <c r="L116" t="s">
        <v>46</v>
      </c>
      <c r="M116" t="s">
        <v>49</v>
      </c>
      <c r="N116" t="s">
        <v>49</v>
      </c>
      <c r="O116" t="s">
        <v>45</v>
      </c>
      <c r="P116" t="s">
        <v>47</v>
      </c>
      <c r="Q116" t="s">
        <v>45</v>
      </c>
      <c r="R116" t="s">
        <v>46</v>
      </c>
      <c r="S116" t="s">
        <v>47</v>
      </c>
      <c r="T116" t="s">
        <v>49</v>
      </c>
      <c r="U116" t="s">
        <v>48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 s="13">
        <v>2</v>
      </c>
      <c r="AR116" s="10"/>
      <c r="AT116" t="s">
        <v>141</v>
      </c>
      <c r="AU116" s="9"/>
      <c r="AW116">
        <v>1</v>
      </c>
    </row>
    <row r="117" spans="1:49" x14ac:dyDescent="0.2">
      <c r="A117" t="s">
        <v>168</v>
      </c>
      <c r="B117" t="s">
        <v>48</v>
      </c>
      <c r="C117" t="s">
        <v>47</v>
      </c>
      <c r="D117" t="s">
        <v>45</v>
      </c>
      <c r="E117" t="s">
        <v>49</v>
      </c>
      <c r="F117" t="s">
        <v>46</v>
      </c>
      <c r="G117" t="s">
        <v>47</v>
      </c>
      <c r="H117" t="s">
        <v>46</v>
      </c>
      <c r="I117" t="s">
        <v>45</v>
      </c>
      <c r="J117" t="s">
        <v>47</v>
      </c>
      <c r="K117" t="s">
        <v>46</v>
      </c>
      <c r="L117" t="s">
        <v>45</v>
      </c>
      <c r="M117" t="s">
        <v>49</v>
      </c>
      <c r="N117" t="s">
        <v>49</v>
      </c>
      <c r="O117" t="s">
        <v>47</v>
      </c>
      <c r="P117" t="s">
        <v>46</v>
      </c>
      <c r="Q117" t="s">
        <v>48</v>
      </c>
      <c r="R117" t="s">
        <v>45</v>
      </c>
      <c r="S117" t="s">
        <v>45</v>
      </c>
      <c r="T117" t="s">
        <v>49</v>
      </c>
      <c r="U117" t="s">
        <v>47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0</v>
      </c>
      <c r="AP117" s="13">
        <v>2.75</v>
      </c>
      <c r="AR117" s="10"/>
      <c r="AT117" t="s">
        <v>141</v>
      </c>
      <c r="AU117" s="9"/>
      <c r="AW117">
        <v>1</v>
      </c>
    </row>
    <row r="118" spans="1:49" x14ac:dyDescent="0.2">
      <c r="A118" t="s">
        <v>169</v>
      </c>
      <c r="B118" t="s">
        <v>45</v>
      </c>
      <c r="C118" t="s">
        <v>47</v>
      </c>
      <c r="D118" t="s">
        <v>47</v>
      </c>
      <c r="E118" t="s">
        <v>49</v>
      </c>
      <c r="F118" t="s">
        <v>46</v>
      </c>
      <c r="G118" t="s">
        <v>47</v>
      </c>
      <c r="H118" t="s">
        <v>48</v>
      </c>
      <c r="I118" t="s">
        <v>47</v>
      </c>
      <c r="J118" t="s">
        <v>48</v>
      </c>
      <c r="K118" t="s">
        <v>48</v>
      </c>
      <c r="L118" t="s">
        <v>45</v>
      </c>
      <c r="M118" t="s">
        <v>49</v>
      </c>
      <c r="N118" t="s">
        <v>49</v>
      </c>
      <c r="O118" t="s">
        <v>46</v>
      </c>
      <c r="P118" t="s">
        <v>47</v>
      </c>
      <c r="Q118" t="s">
        <v>48</v>
      </c>
      <c r="R118" t="s">
        <v>45</v>
      </c>
      <c r="S118" t="s">
        <v>47</v>
      </c>
      <c r="T118" t="s">
        <v>49</v>
      </c>
      <c r="U118" t="s">
        <v>48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 s="13">
        <v>2.75</v>
      </c>
      <c r="AR118" s="10"/>
      <c r="AT118" t="s">
        <v>141</v>
      </c>
      <c r="AU118" s="9"/>
      <c r="AW118">
        <v>1</v>
      </c>
    </row>
    <row r="119" spans="1:49" x14ac:dyDescent="0.2">
      <c r="A119" t="s">
        <v>170</v>
      </c>
      <c r="B119" t="s">
        <v>45</v>
      </c>
      <c r="C119" t="s">
        <v>47</v>
      </c>
      <c r="D119" t="s">
        <v>46</v>
      </c>
      <c r="E119" t="s">
        <v>49</v>
      </c>
      <c r="F119" t="s">
        <v>48</v>
      </c>
      <c r="G119" t="s">
        <v>47</v>
      </c>
      <c r="H119" t="s">
        <v>47</v>
      </c>
      <c r="I119" t="s">
        <v>45</v>
      </c>
      <c r="J119" t="s">
        <v>47</v>
      </c>
      <c r="K119" t="s">
        <v>45</v>
      </c>
      <c r="L119" t="s">
        <v>46</v>
      </c>
      <c r="M119" t="s">
        <v>49</v>
      </c>
      <c r="N119" t="s">
        <v>49</v>
      </c>
      <c r="O119" t="s">
        <v>45</v>
      </c>
      <c r="P119" t="s">
        <v>45</v>
      </c>
      <c r="Q119" t="s">
        <v>47</v>
      </c>
      <c r="R119" t="s">
        <v>48</v>
      </c>
      <c r="S119" t="s">
        <v>48</v>
      </c>
      <c r="T119" t="s">
        <v>49</v>
      </c>
      <c r="U119" t="s">
        <v>48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1</v>
      </c>
      <c r="AO119">
        <v>0</v>
      </c>
      <c r="AP119" s="13">
        <v>3.75</v>
      </c>
      <c r="AR119" s="10"/>
      <c r="AT119" t="s">
        <v>141</v>
      </c>
      <c r="AU119" s="9"/>
      <c r="AW119">
        <v>1</v>
      </c>
    </row>
    <row r="120" spans="1:49" x14ac:dyDescent="0.2">
      <c r="A120" t="s">
        <v>171</v>
      </c>
      <c r="B120" t="s">
        <v>45</v>
      </c>
      <c r="C120" t="s">
        <v>47</v>
      </c>
      <c r="D120" t="s">
        <v>47</v>
      </c>
      <c r="E120" t="s">
        <v>49</v>
      </c>
      <c r="F120" t="s">
        <v>47</v>
      </c>
      <c r="G120" t="s">
        <v>45</v>
      </c>
      <c r="H120" t="s">
        <v>46</v>
      </c>
      <c r="I120" t="s">
        <v>45</v>
      </c>
      <c r="J120" t="s">
        <v>48</v>
      </c>
      <c r="K120" t="s">
        <v>47</v>
      </c>
      <c r="L120" t="s">
        <v>46</v>
      </c>
      <c r="M120" t="s">
        <v>49</v>
      </c>
      <c r="N120" t="s">
        <v>49</v>
      </c>
      <c r="O120" t="s">
        <v>47</v>
      </c>
      <c r="P120" t="s">
        <v>47</v>
      </c>
      <c r="Q120" t="s">
        <v>47</v>
      </c>
      <c r="R120" t="s">
        <v>45</v>
      </c>
      <c r="S120" t="s">
        <v>47</v>
      </c>
      <c r="T120" t="s">
        <v>49</v>
      </c>
      <c r="U120" t="s">
        <v>48</v>
      </c>
      <c r="V120">
        <v>1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0</v>
      </c>
      <c r="AP120" s="13">
        <v>2.75</v>
      </c>
      <c r="AR120" s="10"/>
      <c r="AT120" t="s">
        <v>141</v>
      </c>
      <c r="AU120" s="9"/>
      <c r="AW120">
        <v>1</v>
      </c>
    </row>
    <row r="121" spans="1:49" x14ac:dyDescent="0.2">
      <c r="A121" t="s">
        <v>172</v>
      </c>
      <c r="B121" t="s">
        <v>45</v>
      </c>
      <c r="C121" t="s">
        <v>45</v>
      </c>
      <c r="D121" t="s">
        <v>47</v>
      </c>
      <c r="E121" t="s">
        <v>49</v>
      </c>
      <c r="F121" t="s">
        <v>47</v>
      </c>
      <c r="G121" t="s">
        <v>45</v>
      </c>
      <c r="H121" t="s">
        <v>47</v>
      </c>
      <c r="I121" t="s">
        <v>46</v>
      </c>
      <c r="J121" t="s">
        <v>45</v>
      </c>
      <c r="K121" t="s">
        <v>48</v>
      </c>
      <c r="L121" t="s">
        <v>45</v>
      </c>
      <c r="M121" t="s">
        <v>49</v>
      </c>
      <c r="N121" t="s">
        <v>49</v>
      </c>
      <c r="O121" t="s">
        <v>45</v>
      </c>
      <c r="P121" t="s">
        <v>47</v>
      </c>
      <c r="Q121" t="s">
        <v>46</v>
      </c>
      <c r="R121" t="s">
        <v>45</v>
      </c>
      <c r="S121" t="s">
        <v>48</v>
      </c>
      <c r="T121" t="s">
        <v>49</v>
      </c>
      <c r="U121" t="s">
        <v>45</v>
      </c>
      <c r="V121">
        <v>1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1</v>
      </c>
      <c r="AO121">
        <v>1</v>
      </c>
      <c r="AP121" s="13">
        <v>4.25</v>
      </c>
      <c r="AR121" s="10"/>
      <c r="AT121" t="s">
        <v>141</v>
      </c>
      <c r="AU121" s="9"/>
      <c r="AW121">
        <v>1</v>
      </c>
    </row>
    <row r="122" spans="1:49" x14ac:dyDescent="0.2">
      <c r="A122" t="s">
        <v>173</v>
      </c>
      <c r="B122" t="s">
        <v>45</v>
      </c>
      <c r="C122" t="s">
        <v>47</v>
      </c>
      <c r="D122" t="s">
        <v>47</v>
      </c>
      <c r="E122" t="s">
        <v>46</v>
      </c>
      <c r="F122" t="s">
        <v>45</v>
      </c>
      <c r="G122" t="s">
        <v>45</v>
      </c>
      <c r="H122" t="s">
        <v>47</v>
      </c>
      <c r="I122" t="s">
        <v>48</v>
      </c>
      <c r="J122" t="s">
        <v>46</v>
      </c>
      <c r="K122" t="s">
        <v>48</v>
      </c>
      <c r="L122" t="s">
        <v>47</v>
      </c>
      <c r="M122" t="s">
        <v>49</v>
      </c>
      <c r="N122" t="s">
        <v>49</v>
      </c>
      <c r="O122" t="s">
        <v>48</v>
      </c>
      <c r="P122" t="s">
        <v>47</v>
      </c>
      <c r="Q122" t="s">
        <v>45</v>
      </c>
      <c r="R122" t="s">
        <v>47</v>
      </c>
      <c r="S122" t="s">
        <v>45</v>
      </c>
      <c r="T122" t="s">
        <v>49</v>
      </c>
      <c r="U122" t="s">
        <v>48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 s="13">
        <v>2.8</v>
      </c>
      <c r="AR122" s="10"/>
      <c r="AT122" t="s">
        <v>141</v>
      </c>
      <c r="AU122" s="9"/>
      <c r="AW122">
        <v>1</v>
      </c>
    </row>
    <row r="124" spans="1:49" x14ac:dyDescent="0.2">
      <c r="AP124" s="8"/>
    </row>
  </sheetData>
  <autoFilter ref="A1:AV122" xr:uid="{62253846-FC2C-4BD1-9A9F-6DC045E73A84}"/>
  <phoneticPr fontId="6" type="noConversion"/>
  <conditionalFormatting sqref="V2:AO122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scale="51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7DC4-4237-4640-B761-DB1DB7C1C6EC}">
  <sheetPr>
    <outlinePr summaryBelow="0" summaryRight="0"/>
  </sheetPr>
  <dimension ref="A1:AT50"/>
  <sheetViews>
    <sheetView zoomScale="70" zoomScaleNormal="70" workbookViewId="0">
      <pane ySplit="3" topLeftCell="A6" activePane="bottomLeft" state="frozen"/>
      <selection pane="bottomLeft" activeCell="AC18" sqref="AC18"/>
    </sheetView>
  </sheetViews>
  <sheetFormatPr baseColWidth="10" defaultColWidth="12.5703125" defaultRowHeight="15.75" customHeight="1" x14ac:dyDescent="0.2"/>
  <cols>
    <col min="1" max="1" width="26.85546875" customWidth="1"/>
    <col min="2" max="21" width="3.5703125" customWidth="1"/>
    <col min="22" max="41" width="5.42578125" customWidth="1"/>
    <col min="42" max="42" width="8" bestFit="1" customWidth="1"/>
    <col min="43" max="43" width="9.28515625" bestFit="1" customWidth="1"/>
    <col min="45" max="45" width="10" customWidth="1"/>
  </cols>
  <sheetData>
    <row r="1" spans="1:46" ht="15.75" customHeight="1" x14ac:dyDescent="0.2">
      <c r="A1" s="47" t="s">
        <v>176</v>
      </c>
      <c r="B1" s="27">
        <v>3</v>
      </c>
      <c r="C1" s="27">
        <v>2</v>
      </c>
      <c r="D1" s="27">
        <v>2</v>
      </c>
      <c r="E1" s="27">
        <v>2</v>
      </c>
      <c r="F1" s="27">
        <v>2</v>
      </c>
      <c r="G1" s="27">
        <v>1</v>
      </c>
      <c r="H1" s="27">
        <v>1</v>
      </c>
      <c r="I1" s="27">
        <v>1</v>
      </c>
      <c r="J1" s="27">
        <v>1</v>
      </c>
      <c r="K1" s="27">
        <v>2</v>
      </c>
      <c r="L1" s="27">
        <v>3</v>
      </c>
      <c r="M1" s="27">
        <v>3</v>
      </c>
      <c r="N1" s="27">
        <v>2</v>
      </c>
      <c r="O1" s="27">
        <v>2</v>
      </c>
      <c r="P1" s="27">
        <v>1</v>
      </c>
      <c r="Q1" s="27">
        <v>1</v>
      </c>
      <c r="R1" s="27">
        <v>2</v>
      </c>
      <c r="S1" s="27">
        <v>1</v>
      </c>
      <c r="T1" s="27">
        <v>1</v>
      </c>
      <c r="U1" s="27">
        <v>1</v>
      </c>
    </row>
    <row r="2" spans="1:46" ht="15.75" customHeight="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 spans="1:46" ht="12.75" x14ac:dyDescent="0.2">
      <c r="A3" s="14" t="s">
        <v>41</v>
      </c>
      <c r="B3" s="5" t="s">
        <v>45</v>
      </c>
      <c r="C3" s="5" t="s">
        <v>45</v>
      </c>
      <c r="D3" s="5" t="s">
        <v>46</v>
      </c>
      <c r="E3" s="20" t="s">
        <v>47</v>
      </c>
      <c r="F3" s="5" t="s">
        <v>47</v>
      </c>
      <c r="G3" s="5" t="s">
        <v>45</v>
      </c>
      <c r="H3" s="5" t="s">
        <v>47</v>
      </c>
      <c r="I3" s="5" t="s">
        <v>45</v>
      </c>
      <c r="J3" s="5" t="s">
        <v>45</v>
      </c>
      <c r="K3" s="5" t="s">
        <v>45</v>
      </c>
      <c r="L3" s="5" t="s">
        <v>48</v>
      </c>
      <c r="M3" s="5" t="s">
        <v>45</v>
      </c>
      <c r="N3" s="20" t="s">
        <v>45</v>
      </c>
      <c r="O3" s="5" t="s">
        <v>48</v>
      </c>
      <c r="P3" s="5" t="s">
        <v>46</v>
      </c>
      <c r="Q3" s="5" t="s">
        <v>45</v>
      </c>
      <c r="R3" s="5" t="s">
        <v>47</v>
      </c>
      <c r="S3" s="5" t="s">
        <v>48</v>
      </c>
      <c r="T3" s="5" t="s">
        <v>46</v>
      </c>
      <c r="U3" s="19" t="s">
        <v>47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15" t="s">
        <v>15</v>
      </c>
      <c r="AQ3" s="4" t="s">
        <v>36</v>
      </c>
      <c r="AR3" s="5" t="s">
        <v>37</v>
      </c>
      <c r="AS3" s="6" t="s">
        <v>38</v>
      </c>
      <c r="AT3" t="s">
        <v>39</v>
      </c>
    </row>
    <row r="4" spans="1:46" ht="27.75" customHeight="1" x14ac:dyDescent="0.2">
      <c r="A4" s="7" t="s">
        <v>78</v>
      </c>
      <c r="B4" s="16" t="s">
        <v>47</v>
      </c>
      <c r="C4" s="16" t="s">
        <v>46</v>
      </c>
      <c r="D4" s="16" t="s">
        <v>48</v>
      </c>
      <c r="E4" s="16" t="s">
        <v>45</v>
      </c>
      <c r="F4" s="16" t="s">
        <v>45</v>
      </c>
      <c r="G4" s="16" t="s">
        <v>48</v>
      </c>
      <c r="H4" s="16" t="s">
        <v>46</v>
      </c>
      <c r="I4" s="16" t="s">
        <v>48</v>
      </c>
      <c r="J4" s="16" t="s">
        <v>48</v>
      </c>
      <c r="K4" s="16" t="s">
        <v>47</v>
      </c>
      <c r="L4" s="16" t="s">
        <v>46</v>
      </c>
      <c r="M4" s="16" t="s">
        <v>48</v>
      </c>
      <c r="N4" s="16" t="s">
        <v>46</v>
      </c>
      <c r="O4" s="16" t="s">
        <v>48</v>
      </c>
      <c r="P4" s="16" t="s">
        <v>46</v>
      </c>
      <c r="Q4" s="16" t="s">
        <v>45</v>
      </c>
      <c r="R4" s="16" t="s">
        <v>47</v>
      </c>
      <c r="S4" s="16" t="s">
        <v>46</v>
      </c>
      <c r="T4" s="16" t="s">
        <v>45</v>
      </c>
      <c r="U4" s="16" t="s">
        <v>46</v>
      </c>
      <c r="V4" s="7">
        <f t="shared" ref="V4:AA19" si="0">IF(B4=B$3,1,0)</f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ref="AB4:AB35" si="1">IF(H4=G$3,1,0)</f>
        <v>0</v>
      </c>
      <c r="AC4" s="7">
        <f t="shared" ref="AC4:AC35" si="2">IF(I4=H$3,1,0)</f>
        <v>0</v>
      </c>
      <c r="AD4" s="7">
        <f t="shared" ref="AD4:AD35" si="3">IF(J4=I$3,1,0)</f>
        <v>0</v>
      </c>
      <c r="AE4" s="7">
        <f t="shared" ref="AE4:AE35" si="4">IF(K4=J$3,1,0)</f>
        <v>0</v>
      </c>
      <c r="AF4" s="7">
        <f t="shared" ref="AF4:AF35" si="5">IF(L4=K$3,1,0)</f>
        <v>0</v>
      </c>
      <c r="AG4" s="7">
        <f t="shared" ref="AG4:AG35" si="6">IF(M4=L$3,1,0)</f>
        <v>1</v>
      </c>
      <c r="AH4" s="7">
        <f t="shared" ref="AH4:AH35" si="7">IF(N4=M$3,1,0)</f>
        <v>0</v>
      </c>
      <c r="AI4" s="7">
        <f t="shared" ref="AI4:AI35" si="8">IF(O4=N$3,1,0)</f>
        <v>0</v>
      </c>
      <c r="AJ4" s="7">
        <f t="shared" ref="AJ4:AJ35" si="9">IF(P4=O$3,1,0)</f>
        <v>0</v>
      </c>
      <c r="AK4" s="7">
        <f t="shared" ref="AK4:AK35" si="10">IF(Q4=P$3,1,0)</f>
        <v>0</v>
      </c>
      <c r="AL4" s="7">
        <f t="shared" ref="AL4:AL35" si="11">IF(R4=Q$3,1,0)</f>
        <v>0</v>
      </c>
      <c r="AM4" s="7">
        <f t="shared" ref="AM4:AM35" si="12">IF(S4=R$3,1,0)</f>
        <v>0</v>
      </c>
      <c r="AN4" s="7">
        <f t="shared" ref="AN4:AN35" si="13">IF(T4=S$3,1,0)</f>
        <v>0</v>
      </c>
      <c r="AO4" s="7">
        <f t="shared" ref="AO4:AO35" si="14">IF(U4=T$3,1,0)</f>
        <v>1</v>
      </c>
      <c r="AP4" s="17">
        <f>IFERROR(SUM(V4:AO4)/COUNTA(B4:U4)*5+1,"")</f>
        <v>1.5</v>
      </c>
      <c r="AQ4" s="27" cm="1">
        <f t="array" ref="AQ4:AQ23">TRANSPOSE(B1:U1)</f>
        <v>3</v>
      </c>
      <c r="AR4" s="7" t="s">
        <v>16</v>
      </c>
      <c r="AS4" s="30" cm="1">
        <f t="array" ref="AS4:AS23">TRANSPOSE(V36:AO36)</f>
        <v>19</v>
      </c>
      <c r="AT4" t="s">
        <v>40</v>
      </c>
    </row>
    <row r="5" spans="1:46" ht="12.75" x14ac:dyDescent="0.2">
      <c r="A5" s="7" t="s">
        <v>79</v>
      </c>
      <c r="B5" s="16" t="s">
        <v>45</v>
      </c>
      <c r="C5" s="16" t="s">
        <v>48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48</v>
      </c>
      <c r="I5" s="16" t="s">
        <v>46</v>
      </c>
      <c r="J5" s="16" t="s">
        <v>45</v>
      </c>
      <c r="K5" s="16" t="s">
        <v>47</v>
      </c>
      <c r="L5" s="16" t="s">
        <v>47</v>
      </c>
      <c r="M5" s="16" t="s">
        <v>47</v>
      </c>
      <c r="N5" s="16" t="s">
        <v>45</v>
      </c>
      <c r="O5" s="16" t="s">
        <v>48</v>
      </c>
      <c r="P5" s="16" t="s">
        <v>46</v>
      </c>
      <c r="Q5" s="16" t="s">
        <v>45</v>
      </c>
      <c r="R5" s="16" t="s">
        <v>47</v>
      </c>
      <c r="S5" s="16" t="s">
        <v>46</v>
      </c>
      <c r="T5" s="16" t="s">
        <v>46</v>
      </c>
      <c r="U5" s="16" t="s">
        <v>48</v>
      </c>
      <c r="V5" s="7">
        <f t="shared" si="0"/>
        <v>1</v>
      </c>
      <c r="W5" s="7">
        <f t="shared" si="0"/>
        <v>0</v>
      </c>
      <c r="X5" s="7">
        <f t="shared" si="0"/>
        <v>0</v>
      </c>
      <c r="Y5" s="7">
        <f t="shared" si="0"/>
        <v>0</v>
      </c>
      <c r="Z5" s="7">
        <f t="shared" si="0"/>
        <v>1</v>
      </c>
      <c r="AA5" s="7">
        <f t="shared" si="0"/>
        <v>0</v>
      </c>
      <c r="AB5" s="7">
        <f t="shared" si="1"/>
        <v>0</v>
      </c>
      <c r="AC5" s="7">
        <f t="shared" si="2"/>
        <v>0</v>
      </c>
      <c r="AD5" s="7">
        <f t="shared" si="3"/>
        <v>1</v>
      </c>
      <c r="AE5" s="7">
        <f t="shared" si="4"/>
        <v>0</v>
      </c>
      <c r="AF5" s="7">
        <f t="shared" si="5"/>
        <v>0</v>
      </c>
      <c r="AG5" s="7">
        <f t="shared" si="6"/>
        <v>0</v>
      </c>
      <c r="AH5" s="7">
        <f t="shared" si="7"/>
        <v>1</v>
      </c>
      <c r="AI5" s="7">
        <f t="shared" si="8"/>
        <v>0</v>
      </c>
      <c r="AJ5" s="7">
        <f t="shared" si="9"/>
        <v>0</v>
      </c>
      <c r="AK5" s="7">
        <f t="shared" si="10"/>
        <v>0</v>
      </c>
      <c r="AL5" s="7">
        <f t="shared" si="11"/>
        <v>0</v>
      </c>
      <c r="AM5" s="7">
        <f t="shared" si="12"/>
        <v>0</v>
      </c>
      <c r="AN5" s="7">
        <f t="shared" si="13"/>
        <v>0</v>
      </c>
      <c r="AO5" s="7">
        <f t="shared" si="14"/>
        <v>0</v>
      </c>
      <c r="AP5" s="17">
        <f t="shared" ref="AP5:AP35" si="15">IFERROR(SUM(V5:AO5)/COUNTA(B5:U5)*5+1,"")</f>
        <v>2</v>
      </c>
      <c r="AQ5">
        <v>2</v>
      </c>
      <c r="AR5" s="7" t="s">
        <v>17</v>
      </c>
      <c r="AS5" s="30">
        <v>6</v>
      </c>
      <c r="AT5" t="s">
        <v>40</v>
      </c>
    </row>
    <row r="6" spans="1:46" ht="12.75" x14ac:dyDescent="0.2">
      <c r="A6" s="7" t="s">
        <v>80</v>
      </c>
      <c r="B6" s="16" t="s">
        <v>47</v>
      </c>
      <c r="C6" s="16" t="s">
        <v>46</v>
      </c>
      <c r="D6" s="16" t="s">
        <v>46</v>
      </c>
      <c r="E6" s="16" t="s">
        <v>48</v>
      </c>
      <c r="F6" s="16" t="s">
        <v>45</v>
      </c>
      <c r="G6" s="16" t="s">
        <v>47</v>
      </c>
      <c r="H6" s="16" t="s">
        <v>46</v>
      </c>
      <c r="I6" s="16" t="s">
        <v>46</v>
      </c>
      <c r="J6" s="16" t="s">
        <v>48</v>
      </c>
      <c r="K6" s="16" t="s">
        <v>46</v>
      </c>
      <c r="L6" s="16" t="s">
        <v>47</v>
      </c>
      <c r="M6" s="16" t="s">
        <v>46</v>
      </c>
      <c r="N6" s="16" t="s">
        <v>47</v>
      </c>
      <c r="O6" s="16" t="s">
        <v>47</v>
      </c>
      <c r="P6" s="16" t="s">
        <v>46</v>
      </c>
      <c r="Q6" s="16" t="s">
        <v>46</v>
      </c>
      <c r="R6" s="16" t="s">
        <v>47</v>
      </c>
      <c r="S6" s="16" t="s">
        <v>46</v>
      </c>
      <c r="T6" s="16" t="s">
        <v>46</v>
      </c>
      <c r="U6" s="16" t="s">
        <v>46</v>
      </c>
      <c r="V6" s="7">
        <f t="shared" si="0"/>
        <v>0</v>
      </c>
      <c r="W6" s="7">
        <f t="shared" si="0"/>
        <v>0</v>
      </c>
      <c r="X6" s="7">
        <f t="shared" si="0"/>
        <v>1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1"/>
        <v>0</v>
      </c>
      <c r="AC6" s="7">
        <f t="shared" si="2"/>
        <v>0</v>
      </c>
      <c r="AD6" s="7">
        <f t="shared" si="3"/>
        <v>0</v>
      </c>
      <c r="AE6" s="7">
        <f t="shared" si="4"/>
        <v>0</v>
      </c>
      <c r="AF6" s="7">
        <f t="shared" si="5"/>
        <v>0</v>
      </c>
      <c r="AG6" s="7">
        <f t="shared" si="6"/>
        <v>0</v>
      </c>
      <c r="AH6" s="7">
        <f t="shared" si="7"/>
        <v>0</v>
      </c>
      <c r="AI6" s="7">
        <f t="shared" si="8"/>
        <v>0</v>
      </c>
      <c r="AJ6" s="7">
        <f t="shared" si="9"/>
        <v>0</v>
      </c>
      <c r="AK6" s="7">
        <f t="shared" si="10"/>
        <v>1</v>
      </c>
      <c r="AL6" s="7">
        <f t="shared" si="11"/>
        <v>0</v>
      </c>
      <c r="AM6" s="7">
        <f t="shared" si="12"/>
        <v>0</v>
      </c>
      <c r="AN6" s="7">
        <f t="shared" si="13"/>
        <v>0</v>
      </c>
      <c r="AO6" s="7">
        <f t="shared" si="14"/>
        <v>1</v>
      </c>
      <c r="AP6" s="17">
        <f t="shared" si="15"/>
        <v>1.75</v>
      </c>
      <c r="AQ6" s="28">
        <v>2</v>
      </c>
      <c r="AR6" s="29" t="s">
        <v>18</v>
      </c>
      <c r="AS6" s="30">
        <v>10</v>
      </c>
      <c r="AT6" t="s">
        <v>40</v>
      </c>
    </row>
    <row r="7" spans="1:46" ht="12.75" x14ac:dyDescent="0.2">
      <c r="A7" s="7" t="s">
        <v>81</v>
      </c>
      <c r="B7" s="16" t="s">
        <v>48</v>
      </c>
      <c r="C7" s="16" t="s">
        <v>46</v>
      </c>
      <c r="D7" s="16" t="s">
        <v>45</v>
      </c>
      <c r="E7" s="16" t="s">
        <v>46</v>
      </c>
      <c r="F7" s="16" t="s">
        <v>45</v>
      </c>
      <c r="G7" s="16" t="s">
        <v>47</v>
      </c>
      <c r="H7" s="16" t="s">
        <v>47</v>
      </c>
      <c r="I7" s="16" t="s">
        <v>48</v>
      </c>
      <c r="J7" s="16" t="s">
        <v>47</v>
      </c>
      <c r="K7" s="16" t="s">
        <v>47</v>
      </c>
      <c r="L7" s="16" t="s">
        <v>45</v>
      </c>
      <c r="M7" s="16" t="s">
        <v>47</v>
      </c>
      <c r="N7" s="16" t="s">
        <v>45</v>
      </c>
      <c r="O7" s="16" t="s">
        <v>48</v>
      </c>
      <c r="P7" s="16" t="s">
        <v>45</v>
      </c>
      <c r="Q7" s="16" t="s">
        <v>47</v>
      </c>
      <c r="R7" s="16" t="s">
        <v>47</v>
      </c>
      <c r="S7" s="16" t="s">
        <v>45</v>
      </c>
      <c r="T7" s="16" t="s">
        <v>46</v>
      </c>
      <c r="U7" s="16" t="s">
        <v>48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1"/>
        <v>0</v>
      </c>
      <c r="AC7" s="7">
        <f t="shared" si="2"/>
        <v>0</v>
      </c>
      <c r="AD7" s="7">
        <f t="shared" si="3"/>
        <v>0</v>
      </c>
      <c r="AE7" s="7">
        <f t="shared" si="4"/>
        <v>0</v>
      </c>
      <c r="AF7" s="7">
        <f t="shared" si="5"/>
        <v>1</v>
      </c>
      <c r="AG7" s="7">
        <f t="shared" si="6"/>
        <v>0</v>
      </c>
      <c r="AH7" s="7">
        <f t="shared" si="7"/>
        <v>1</v>
      </c>
      <c r="AI7" s="7">
        <f t="shared" si="8"/>
        <v>0</v>
      </c>
      <c r="AJ7" s="7">
        <f t="shared" si="9"/>
        <v>0</v>
      </c>
      <c r="AK7" s="7">
        <f t="shared" si="10"/>
        <v>0</v>
      </c>
      <c r="AL7" s="7">
        <f t="shared" si="11"/>
        <v>0</v>
      </c>
      <c r="AM7" s="7">
        <f t="shared" si="12"/>
        <v>0</v>
      </c>
      <c r="AN7" s="7">
        <f t="shared" si="13"/>
        <v>0</v>
      </c>
      <c r="AO7" s="7">
        <f t="shared" si="14"/>
        <v>0</v>
      </c>
      <c r="AP7" s="17">
        <f t="shared" si="15"/>
        <v>1.5</v>
      </c>
      <c r="AQ7" s="27">
        <v>2</v>
      </c>
      <c r="AR7" s="7" t="s">
        <v>19</v>
      </c>
      <c r="AS7" s="30">
        <v>9</v>
      </c>
      <c r="AT7" t="s">
        <v>40</v>
      </c>
    </row>
    <row r="8" spans="1:46" ht="12.75" x14ac:dyDescent="0.2">
      <c r="A8" s="7" t="s">
        <v>82</v>
      </c>
      <c r="B8" s="16" t="s">
        <v>45</v>
      </c>
      <c r="C8" s="16" t="s">
        <v>45</v>
      </c>
      <c r="D8" s="16" t="s">
        <v>48</v>
      </c>
      <c r="E8" s="16" t="s">
        <v>45</v>
      </c>
      <c r="F8" s="16" t="s">
        <v>45</v>
      </c>
      <c r="G8" s="16" t="s">
        <v>45</v>
      </c>
      <c r="H8" s="16" t="s">
        <v>47</v>
      </c>
      <c r="I8" s="16" t="s">
        <v>48</v>
      </c>
      <c r="J8" s="16" t="s">
        <v>47</v>
      </c>
      <c r="K8" s="16" t="s">
        <v>47</v>
      </c>
      <c r="L8" s="16" t="s">
        <v>47</v>
      </c>
      <c r="M8" s="16" t="s">
        <v>45</v>
      </c>
      <c r="N8" s="16" t="s">
        <v>47</v>
      </c>
      <c r="O8" s="16" t="s">
        <v>48</v>
      </c>
      <c r="P8" s="16" t="s">
        <v>46</v>
      </c>
      <c r="Q8" s="16" t="s">
        <v>45</v>
      </c>
      <c r="R8" s="16" t="s">
        <v>47</v>
      </c>
      <c r="S8" s="16" t="s">
        <v>47</v>
      </c>
      <c r="T8" s="16" t="s">
        <v>46</v>
      </c>
      <c r="U8" s="16" t="s">
        <v>48</v>
      </c>
      <c r="V8" s="7">
        <f t="shared" si="0"/>
        <v>1</v>
      </c>
      <c r="W8" s="7">
        <f t="shared" si="0"/>
        <v>1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1</v>
      </c>
      <c r="AB8" s="7">
        <f t="shared" si="1"/>
        <v>0</v>
      </c>
      <c r="AC8" s="7">
        <f t="shared" si="2"/>
        <v>0</v>
      </c>
      <c r="AD8" s="7">
        <f t="shared" si="3"/>
        <v>0</v>
      </c>
      <c r="AE8" s="7">
        <f t="shared" si="4"/>
        <v>0</v>
      </c>
      <c r="AF8" s="7">
        <f t="shared" si="5"/>
        <v>0</v>
      </c>
      <c r="AG8" s="7">
        <f t="shared" si="6"/>
        <v>0</v>
      </c>
      <c r="AH8" s="7">
        <f t="shared" si="7"/>
        <v>0</v>
      </c>
      <c r="AI8" s="7">
        <f t="shared" si="8"/>
        <v>0</v>
      </c>
      <c r="AJ8" s="7">
        <f t="shared" si="9"/>
        <v>0</v>
      </c>
      <c r="AK8" s="7">
        <f t="shared" si="10"/>
        <v>0</v>
      </c>
      <c r="AL8" s="7">
        <f t="shared" si="11"/>
        <v>0</v>
      </c>
      <c r="AM8" s="7">
        <f t="shared" si="12"/>
        <v>1</v>
      </c>
      <c r="AN8" s="7">
        <f t="shared" si="13"/>
        <v>0</v>
      </c>
      <c r="AO8" s="7">
        <f t="shared" si="14"/>
        <v>0</v>
      </c>
      <c r="AP8" s="17">
        <f t="shared" si="15"/>
        <v>2</v>
      </c>
      <c r="AQ8" s="27">
        <v>2</v>
      </c>
      <c r="AR8" s="7" t="s">
        <v>20</v>
      </c>
      <c r="AS8" s="30">
        <v>15</v>
      </c>
      <c r="AT8" t="s">
        <v>40</v>
      </c>
    </row>
    <row r="9" spans="1:46" ht="12.75" x14ac:dyDescent="0.2">
      <c r="A9" s="7" t="s">
        <v>83</v>
      </c>
      <c r="B9" s="16" t="s">
        <v>47</v>
      </c>
      <c r="C9" s="16" t="s">
        <v>48</v>
      </c>
      <c r="D9" s="16" t="s">
        <v>46</v>
      </c>
      <c r="E9" s="16" t="s">
        <v>45</v>
      </c>
      <c r="F9" s="16" t="s">
        <v>45</v>
      </c>
      <c r="G9" s="16" t="s">
        <v>45</v>
      </c>
      <c r="H9" s="16" t="s">
        <v>46</v>
      </c>
      <c r="I9" s="16" t="s">
        <v>48</v>
      </c>
      <c r="J9" s="16" t="s">
        <v>47</v>
      </c>
      <c r="K9" s="16" t="s">
        <v>47</v>
      </c>
      <c r="L9" s="16" t="s">
        <v>46</v>
      </c>
      <c r="M9" s="16" t="s">
        <v>45</v>
      </c>
      <c r="N9" s="16" t="s">
        <v>47</v>
      </c>
      <c r="O9" s="16" t="s">
        <v>48</v>
      </c>
      <c r="P9" s="16" t="s">
        <v>47</v>
      </c>
      <c r="Q9" s="16" t="s">
        <v>45</v>
      </c>
      <c r="R9" s="16" t="s">
        <v>47</v>
      </c>
      <c r="S9" s="16" t="s">
        <v>47</v>
      </c>
      <c r="T9" s="16" t="s">
        <v>46</v>
      </c>
      <c r="U9" s="16" t="s">
        <v>48</v>
      </c>
      <c r="V9" s="7">
        <f t="shared" si="0"/>
        <v>0</v>
      </c>
      <c r="W9" s="7">
        <f t="shared" si="0"/>
        <v>0</v>
      </c>
      <c r="X9" s="7">
        <f t="shared" si="0"/>
        <v>1</v>
      </c>
      <c r="Y9" s="7">
        <f t="shared" si="0"/>
        <v>0</v>
      </c>
      <c r="Z9" s="7">
        <f t="shared" si="0"/>
        <v>0</v>
      </c>
      <c r="AA9" s="7">
        <f t="shared" si="0"/>
        <v>1</v>
      </c>
      <c r="AB9" s="7">
        <f t="shared" si="1"/>
        <v>0</v>
      </c>
      <c r="AC9" s="7">
        <f t="shared" si="2"/>
        <v>0</v>
      </c>
      <c r="AD9" s="7">
        <f t="shared" si="3"/>
        <v>0</v>
      </c>
      <c r="AE9" s="7">
        <f t="shared" si="4"/>
        <v>0</v>
      </c>
      <c r="AF9" s="7">
        <f t="shared" si="5"/>
        <v>0</v>
      </c>
      <c r="AG9" s="7">
        <f t="shared" si="6"/>
        <v>0</v>
      </c>
      <c r="AH9" s="7">
        <f t="shared" si="7"/>
        <v>0</v>
      </c>
      <c r="AI9" s="7">
        <f t="shared" si="8"/>
        <v>0</v>
      </c>
      <c r="AJ9" s="7">
        <f t="shared" si="9"/>
        <v>0</v>
      </c>
      <c r="AK9" s="7">
        <f t="shared" si="10"/>
        <v>0</v>
      </c>
      <c r="AL9" s="7">
        <f t="shared" si="11"/>
        <v>0</v>
      </c>
      <c r="AM9" s="7">
        <f t="shared" si="12"/>
        <v>1</v>
      </c>
      <c r="AN9" s="7">
        <f t="shared" si="13"/>
        <v>0</v>
      </c>
      <c r="AO9" s="7">
        <f t="shared" si="14"/>
        <v>0</v>
      </c>
      <c r="AP9" s="17">
        <f t="shared" si="15"/>
        <v>1.75</v>
      </c>
      <c r="AQ9" s="27">
        <v>1</v>
      </c>
      <c r="AR9" s="7" t="s">
        <v>21</v>
      </c>
      <c r="AS9" s="30">
        <v>15</v>
      </c>
      <c r="AT9" t="s">
        <v>40</v>
      </c>
    </row>
    <row r="10" spans="1:46" ht="12.75" x14ac:dyDescent="0.2">
      <c r="A10" s="7" t="s">
        <v>84</v>
      </c>
      <c r="B10" s="16" t="s">
        <v>45</v>
      </c>
      <c r="C10" s="16" t="s">
        <v>47</v>
      </c>
      <c r="D10" s="16" t="s">
        <v>47</v>
      </c>
      <c r="E10" s="16" t="s">
        <v>48</v>
      </c>
      <c r="F10" s="16" t="s">
        <v>47</v>
      </c>
      <c r="G10" s="16" t="s">
        <v>47</v>
      </c>
      <c r="H10" s="16" t="s">
        <v>46</v>
      </c>
      <c r="I10" s="16" t="s">
        <v>48</v>
      </c>
      <c r="J10" s="16" t="s">
        <v>48</v>
      </c>
      <c r="K10" s="16" t="s">
        <v>45</v>
      </c>
      <c r="L10" s="16" t="s">
        <v>45</v>
      </c>
      <c r="M10" s="16" t="s">
        <v>45</v>
      </c>
      <c r="N10" s="16" t="s">
        <v>47</v>
      </c>
      <c r="O10" s="16" t="s">
        <v>48</v>
      </c>
      <c r="P10" s="16" t="s">
        <v>45</v>
      </c>
      <c r="Q10" s="16" t="s">
        <v>46</v>
      </c>
      <c r="R10" s="16" t="s">
        <v>45</v>
      </c>
      <c r="S10" s="16" t="s">
        <v>47</v>
      </c>
      <c r="T10" s="16" t="s">
        <v>46</v>
      </c>
      <c r="U10" s="16" t="s">
        <v>45</v>
      </c>
      <c r="V10" s="7">
        <f t="shared" si="0"/>
        <v>1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1</v>
      </c>
      <c r="AA10" s="7">
        <f t="shared" si="0"/>
        <v>0</v>
      </c>
      <c r="AB10" s="7">
        <f t="shared" si="1"/>
        <v>0</v>
      </c>
      <c r="AC10" s="7">
        <f t="shared" si="2"/>
        <v>0</v>
      </c>
      <c r="AD10" s="7">
        <f t="shared" si="3"/>
        <v>0</v>
      </c>
      <c r="AE10" s="7">
        <f t="shared" si="4"/>
        <v>1</v>
      </c>
      <c r="AF10" s="7">
        <f t="shared" si="5"/>
        <v>1</v>
      </c>
      <c r="AG10" s="7">
        <f t="shared" si="6"/>
        <v>0</v>
      </c>
      <c r="AH10" s="7">
        <f t="shared" si="7"/>
        <v>0</v>
      </c>
      <c r="AI10" s="7">
        <f t="shared" si="8"/>
        <v>0</v>
      </c>
      <c r="AJ10" s="7">
        <f t="shared" si="9"/>
        <v>0</v>
      </c>
      <c r="AK10" s="7">
        <f t="shared" si="10"/>
        <v>1</v>
      </c>
      <c r="AL10" s="7">
        <f t="shared" si="11"/>
        <v>1</v>
      </c>
      <c r="AM10" s="7">
        <f t="shared" si="12"/>
        <v>1</v>
      </c>
      <c r="AN10" s="7">
        <f t="shared" si="13"/>
        <v>0</v>
      </c>
      <c r="AO10" s="7">
        <f t="shared" si="14"/>
        <v>0</v>
      </c>
      <c r="AP10" s="17">
        <f t="shared" si="15"/>
        <v>2.75</v>
      </c>
      <c r="AQ10" s="27">
        <v>1</v>
      </c>
      <c r="AR10" s="7" t="s">
        <v>22</v>
      </c>
      <c r="AS10" s="30">
        <v>5</v>
      </c>
      <c r="AT10" t="s">
        <v>40</v>
      </c>
    </row>
    <row r="11" spans="1:46" ht="12.75" x14ac:dyDescent="0.2">
      <c r="A11" s="7" t="s">
        <v>85</v>
      </c>
      <c r="B11" s="16" t="s">
        <v>45</v>
      </c>
      <c r="C11" s="16" t="s">
        <v>48</v>
      </c>
      <c r="D11" s="16" t="s">
        <v>47</v>
      </c>
      <c r="E11" s="16" t="s">
        <v>47</v>
      </c>
      <c r="F11" s="16" t="s">
        <v>45</v>
      </c>
      <c r="G11" s="16" t="s">
        <v>47</v>
      </c>
      <c r="H11" s="16" t="s">
        <v>46</v>
      </c>
      <c r="I11" s="16" t="s">
        <v>48</v>
      </c>
      <c r="J11" s="16" t="s">
        <v>47</v>
      </c>
      <c r="K11" s="16" t="s">
        <v>46</v>
      </c>
      <c r="L11" s="16" t="s">
        <v>48</v>
      </c>
      <c r="M11" s="16" t="s">
        <v>45</v>
      </c>
      <c r="N11" s="16" t="s">
        <v>48</v>
      </c>
      <c r="O11" s="16" t="s">
        <v>47</v>
      </c>
      <c r="P11" s="16" t="s">
        <v>46</v>
      </c>
      <c r="Q11" s="16" t="s">
        <v>47</v>
      </c>
      <c r="R11" s="16" t="s">
        <v>46</v>
      </c>
      <c r="S11" s="16" t="s">
        <v>45</v>
      </c>
      <c r="T11" s="16" t="s">
        <v>48</v>
      </c>
      <c r="U11" s="16" t="s">
        <v>45</v>
      </c>
      <c r="V11" s="7">
        <f t="shared" si="0"/>
        <v>1</v>
      </c>
      <c r="W11" s="7">
        <f t="shared" si="0"/>
        <v>0</v>
      </c>
      <c r="X11" s="7">
        <f t="shared" si="0"/>
        <v>0</v>
      </c>
      <c r="Y11" s="7">
        <f t="shared" si="0"/>
        <v>1</v>
      </c>
      <c r="Z11" s="7">
        <f t="shared" si="0"/>
        <v>0</v>
      </c>
      <c r="AA11" s="7">
        <f t="shared" si="0"/>
        <v>0</v>
      </c>
      <c r="AB11" s="7">
        <f t="shared" si="1"/>
        <v>0</v>
      </c>
      <c r="AC11" s="7">
        <f t="shared" si="2"/>
        <v>0</v>
      </c>
      <c r="AD11" s="7">
        <f t="shared" si="3"/>
        <v>0</v>
      </c>
      <c r="AE11" s="7">
        <f t="shared" si="4"/>
        <v>0</v>
      </c>
      <c r="AF11" s="7">
        <f t="shared" si="5"/>
        <v>0</v>
      </c>
      <c r="AG11" s="7">
        <f t="shared" si="6"/>
        <v>0</v>
      </c>
      <c r="AH11" s="7">
        <f t="shared" si="7"/>
        <v>0</v>
      </c>
      <c r="AI11" s="7">
        <f t="shared" si="8"/>
        <v>0</v>
      </c>
      <c r="AJ11" s="7">
        <f t="shared" si="9"/>
        <v>0</v>
      </c>
      <c r="AK11" s="7">
        <f t="shared" si="10"/>
        <v>0</v>
      </c>
      <c r="AL11" s="7">
        <f t="shared" si="11"/>
        <v>0</v>
      </c>
      <c r="AM11" s="7">
        <f t="shared" si="12"/>
        <v>0</v>
      </c>
      <c r="AN11" s="7">
        <f t="shared" si="13"/>
        <v>1</v>
      </c>
      <c r="AO11" s="7">
        <f t="shared" si="14"/>
        <v>0</v>
      </c>
      <c r="AP11" s="17">
        <f t="shared" si="15"/>
        <v>1.75</v>
      </c>
      <c r="AQ11" s="27">
        <v>1</v>
      </c>
      <c r="AR11" s="7" t="s">
        <v>23</v>
      </c>
      <c r="AS11" s="30">
        <v>5</v>
      </c>
      <c r="AT11" t="s">
        <v>40</v>
      </c>
    </row>
    <row r="12" spans="1:46" ht="12.75" x14ac:dyDescent="0.2">
      <c r="A12" s="7" t="s">
        <v>86</v>
      </c>
      <c r="B12" s="16" t="s">
        <v>47</v>
      </c>
      <c r="C12" s="16" t="s">
        <v>47</v>
      </c>
      <c r="D12" s="16" t="s">
        <v>46</v>
      </c>
      <c r="E12" s="16" t="s">
        <v>47</v>
      </c>
      <c r="F12" s="16" t="s">
        <v>47</v>
      </c>
      <c r="G12" s="16" t="s">
        <v>45</v>
      </c>
      <c r="H12" s="16" t="s">
        <v>48</v>
      </c>
      <c r="I12" s="16" t="s">
        <v>48</v>
      </c>
      <c r="J12" s="16" t="s">
        <v>48</v>
      </c>
      <c r="K12" s="16" t="s">
        <v>46</v>
      </c>
      <c r="L12" s="16" t="s">
        <v>48</v>
      </c>
      <c r="M12" s="16" t="s">
        <v>46</v>
      </c>
      <c r="N12" s="16" t="s">
        <v>45</v>
      </c>
      <c r="O12" s="16" t="s">
        <v>48</v>
      </c>
      <c r="P12" s="16" t="s">
        <v>46</v>
      </c>
      <c r="Q12" s="16" t="s">
        <v>45</v>
      </c>
      <c r="R12" s="16" t="s">
        <v>47</v>
      </c>
      <c r="S12" s="16" t="s">
        <v>47</v>
      </c>
      <c r="T12" s="16" t="s">
        <v>46</v>
      </c>
      <c r="U12" s="16" t="s">
        <v>47</v>
      </c>
      <c r="V12" s="7">
        <f t="shared" si="0"/>
        <v>0</v>
      </c>
      <c r="W12" s="7">
        <f t="shared" si="0"/>
        <v>0</v>
      </c>
      <c r="X12" s="7">
        <f t="shared" si="0"/>
        <v>1</v>
      </c>
      <c r="Y12" s="7">
        <f t="shared" si="0"/>
        <v>1</v>
      </c>
      <c r="Z12" s="7">
        <f t="shared" si="0"/>
        <v>1</v>
      </c>
      <c r="AA12" s="7">
        <f t="shared" si="0"/>
        <v>1</v>
      </c>
      <c r="AB12" s="7">
        <f t="shared" si="1"/>
        <v>0</v>
      </c>
      <c r="AC12" s="7">
        <f t="shared" si="2"/>
        <v>0</v>
      </c>
      <c r="AD12" s="7">
        <f t="shared" si="3"/>
        <v>0</v>
      </c>
      <c r="AE12" s="7">
        <f t="shared" si="4"/>
        <v>0</v>
      </c>
      <c r="AF12" s="7">
        <f t="shared" si="5"/>
        <v>0</v>
      </c>
      <c r="AG12" s="7">
        <f t="shared" si="6"/>
        <v>0</v>
      </c>
      <c r="AH12" s="7">
        <f t="shared" si="7"/>
        <v>1</v>
      </c>
      <c r="AI12" s="7">
        <f t="shared" si="8"/>
        <v>0</v>
      </c>
      <c r="AJ12" s="7">
        <f t="shared" si="9"/>
        <v>0</v>
      </c>
      <c r="AK12" s="7">
        <f t="shared" si="10"/>
        <v>0</v>
      </c>
      <c r="AL12" s="7">
        <f t="shared" si="11"/>
        <v>0</v>
      </c>
      <c r="AM12" s="7">
        <f t="shared" si="12"/>
        <v>1</v>
      </c>
      <c r="AN12" s="7">
        <f t="shared" si="13"/>
        <v>0</v>
      </c>
      <c r="AO12" s="7">
        <f t="shared" si="14"/>
        <v>0</v>
      </c>
      <c r="AP12" s="17">
        <f t="shared" si="15"/>
        <v>2.5</v>
      </c>
      <c r="AQ12" s="27">
        <v>1</v>
      </c>
      <c r="AR12" s="7" t="s">
        <v>24</v>
      </c>
      <c r="AS12" s="30">
        <v>13</v>
      </c>
      <c r="AT12" t="s">
        <v>40</v>
      </c>
    </row>
    <row r="13" spans="1:46" ht="12.75" x14ac:dyDescent="0.2">
      <c r="A13" s="7" t="s">
        <v>87</v>
      </c>
      <c r="B13" s="16" t="s">
        <v>45</v>
      </c>
      <c r="C13" s="16" t="s">
        <v>45</v>
      </c>
      <c r="D13" s="16" t="s">
        <v>47</v>
      </c>
      <c r="E13" s="16" t="s">
        <v>46</v>
      </c>
      <c r="F13" s="16" t="s">
        <v>47</v>
      </c>
      <c r="G13" s="16" t="s">
        <v>45</v>
      </c>
      <c r="H13" s="16" t="s">
        <v>46</v>
      </c>
      <c r="I13" s="16" t="s">
        <v>47</v>
      </c>
      <c r="J13" s="16" t="s">
        <v>45</v>
      </c>
      <c r="K13" s="16" t="s">
        <v>48</v>
      </c>
      <c r="L13" s="16" t="s">
        <v>47</v>
      </c>
      <c r="M13" s="16" t="s">
        <v>47</v>
      </c>
      <c r="N13" s="16" t="s">
        <v>46</v>
      </c>
      <c r="O13" s="16" t="s">
        <v>47</v>
      </c>
      <c r="P13" s="16" t="s">
        <v>45</v>
      </c>
      <c r="Q13" s="16" t="s">
        <v>47</v>
      </c>
      <c r="R13" s="16" t="s">
        <v>47</v>
      </c>
      <c r="S13" s="16" t="s">
        <v>45</v>
      </c>
      <c r="T13" s="16" t="s">
        <v>46</v>
      </c>
      <c r="U13" s="16" t="s">
        <v>48</v>
      </c>
      <c r="V13" s="7">
        <f t="shared" si="0"/>
        <v>1</v>
      </c>
      <c r="W13" s="7">
        <f t="shared" si="0"/>
        <v>1</v>
      </c>
      <c r="X13" s="7">
        <f t="shared" si="0"/>
        <v>0</v>
      </c>
      <c r="Y13" s="7">
        <f t="shared" si="0"/>
        <v>0</v>
      </c>
      <c r="Z13" s="7">
        <f t="shared" si="0"/>
        <v>1</v>
      </c>
      <c r="AA13" s="7">
        <f t="shared" si="0"/>
        <v>1</v>
      </c>
      <c r="AB13" s="7">
        <f t="shared" si="1"/>
        <v>0</v>
      </c>
      <c r="AC13" s="7">
        <f t="shared" si="2"/>
        <v>1</v>
      </c>
      <c r="AD13" s="7">
        <f t="shared" si="3"/>
        <v>1</v>
      </c>
      <c r="AE13" s="7">
        <f t="shared" si="4"/>
        <v>0</v>
      </c>
      <c r="AF13" s="7">
        <f t="shared" si="5"/>
        <v>0</v>
      </c>
      <c r="AG13" s="7">
        <f t="shared" si="6"/>
        <v>0</v>
      </c>
      <c r="AH13" s="7">
        <f t="shared" si="7"/>
        <v>0</v>
      </c>
      <c r="AI13" s="7">
        <f t="shared" si="8"/>
        <v>0</v>
      </c>
      <c r="AJ13" s="7">
        <f t="shared" si="9"/>
        <v>0</v>
      </c>
      <c r="AK13" s="7">
        <f t="shared" si="10"/>
        <v>0</v>
      </c>
      <c r="AL13" s="7">
        <f t="shared" si="11"/>
        <v>0</v>
      </c>
      <c r="AM13" s="7">
        <f t="shared" si="12"/>
        <v>0</v>
      </c>
      <c r="AN13" s="7">
        <f t="shared" si="13"/>
        <v>0</v>
      </c>
      <c r="AO13" s="7">
        <f t="shared" si="14"/>
        <v>0</v>
      </c>
      <c r="AP13" s="17">
        <f t="shared" si="15"/>
        <v>2.5</v>
      </c>
      <c r="AQ13" s="27">
        <v>2</v>
      </c>
      <c r="AR13" s="7" t="s">
        <v>25</v>
      </c>
      <c r="AS13" s="30">
        <v>6</v>
      </c>
      <c r="AT13" t="s">
        <v>40</v>
      </c>
    </row>
    <row r="14" spans="1:46" ht="12.75" x14ac:dyDescent="0.2">
      <c r="A14" s="7" t="s">
        <v>88</v>
      </c>
      <c r="B14" s="16" t="s">
        <v>45</v>
      </c>
      <c r="C14" s="16" t="s">
        <v>47</v>
      </c>
      <c r="D14" s="16" t="s">
        <v>47</v>
      </c>
      <c r="E14" s="16" t="s">
        <v>48</v>
      </c>
      <c r="F14" s="16" t="s">
        <v>47</v>
      </c>
      <c r="G14" s="16" t="s">
        <v>47</v>
      </c>
      <c r="H14" s="16" t="s">
        <v>46</v>
      </c>
      <c r="I14" s="16" t="s">
        <v>48</v>
      </c>
      <c r="J14" s="16" t="s">
        <v>48</v>
      </c>
      <c r="K14" s="16" t="s">
        <v>45</v>
      </c>
      <c r="L14" s="16" t="s">
        <v>45</v>
      </c>
      <c r="M14" s="16" t="s">
        <v>45</v>
      </c>
      <c r="N14" s="16" t="s">
        <v>45</v>
      </c>
      <c r="O14" s="16" t="s">
        <v>48</v>
      </c>
      <c r="P14" s="16" t="s">
        <v>47</v>
      </c>
      <c r="Q14" s="16" t="s">
        <v>47</v>
      </c>
      <c r="R14" s="16" t="s">
        <v>47</v>
      </c>
      <c r="S14" s="16" t="s">
        <v>45</v>
      </c>
      <c r="T14" s="16" t="s">
        <v>46</v>
      </c>
      <c r="U14" s="16" t="s">
        <v>48</v>
      </c>
      <c r="V14" s="7">
        <f t="shared" si="0"/>
        <v>1</v>
      </c>
      <c r="W14" s="7">
        <f t="shared" si="0"/>
        <v>0</v>
      </c>
      <c r="X14" s="7">
        <f t="shared" si="0"/>
        <v>0</v>
      </c>
      <c r="Y14" s="7">
        <f t="shared" si="0"/>
        <v>0</v>
      </c>
      <c r="Z14" s="7">
        <f t="shared" si="0"/>
        <v>1</v>
      </c>
      <c r="AA14" s="7">
        <f t="shared" si="0"/>
        <v>0</v>
      </c>
      <c r="AB14" s="7">
        <f t="shared" si="1"/>
        <v>0</v>
      </c>
      <c r="AC14" s="7">
        <f t="shared" si="2"/>
        <v>0</v>
      </c>
      <c r="AD14" s="7">
        <f t="shared" si="3"/>
        <v>0</v>
      </c>
      <c r="AE14" s="7">
        <f t="shared" si="4"/>
        <v>1</v>
      </c>
      <c r="AF14" s="7">
        <f t="shared" si="5"/>
        <v>1</v>
      </c>
      <c r="AG14" s="7">
        <f t="shared" si="6"/>
        <v>0</v>
      </c>
      <c r="AH14" s="7">
        <f t="shared" si="7"/>
        <v>1</v>
      </c>
      <c r="AI14" s="7">
        <f t="shared" si="8"/>
        <v>0</v>
      </c>
      <c r="AJ14" s="7">
        <f t="shared" si="9"/>
        <v>0</v>
      </c>
      <c r="AK14" s="7">
        <f t="shared" si="10"/>
        <v>0</v>
      </c>
      <c r="AL14" s="7">
        <f t="shared" si="11"/>
        <v>0</v>
      </c>
      <c r="AM14" s="7">
        <f t="shared" si="12"/>
        <v>0</v>
      </c>
      <c r="AN14" s="7">
        <f t="shared" si="13"/>
        <v>0</v>
      </c>
      <c r="AO14" s="7">
        <f t="shared" si="14"/>
        <v>0</v>
      </c>
      <c r="AP14" s="17">
        <f t="shared" si="15"/>
        <v>2.25</v>
      </c>
      <c r="AQ14" s="27">
        <v>3</v>
      </c>
      <c r="AR14" s="7" t="s">
        <v>26</v>
      </c>
      <c r="AS14" s="30">
        <v>7</v>
      </c>
      <c r="AT14" t="s">
        <v>40</v>
      </c>
    </row>
    <row r="15" spans="1:46" ht="12.75" x14ac:dyDescent="0.2">
      <c r="A15" s="7" t="s">
        <v>89</v>
      </c>
      <c r="B15" s="16" t="s">
        <v>45</v>
      </c>
      <c r="C15" s="16" t="s">
        <v>48</v>
      </c>
      <c r="D15" s="16" t="s">
        <v>47</v>
      </c>
      <c r="E15" s="16" t="s">
        <v>48</v>
      </c>
      <c r="F15" s="16" t="s">
        <v>47</v>
      </c>
      <c r="G15" s="16" t="s">
        <v>45</v>
      </c>
      <c r="H15" s="16" t="s">
        <v>46</v>
      </c>
      <c r="I15" s="16" t="s">
        <v>48</v>
      </c>
      <c r="J15" s="16" t="s">
        <v>47</v>
      </c>
      <c r="K15" s="16" t="s">
        <v>46</v>
      </c>
      <c r="L15" s="16" t="s">
        <v>45</v>
      </c>
      <c r="M15" s="16" t="s">
        <v>47</v>
      </c>
      <c r="N15" s="16" t="s">
        <v>46</v>
      </c>
      <c r="O15" s="16" t="s">
        <v>45</v>
      </c>
      <c r="P15" s="16" t="s">
        <v>46</v>
      </c>
      <c r="Q15" s="16" t="s">
        <v>47</v>
      </c>
      <c r="R15" s="16" t="s">
        <v>46</v>
      </c>
      <c r="S15" s="16" t="s">
        <v>47</v>
      </c>
      <c r="T15" s="16" t="s">
        <v>48</v>
      </c>
      <c r="U15" s="16" t="s">
        <v>45</v>
      </c>
      <c r="V15" s="7">
        <f t="shared" si="0"/>
        <v>1</v>
      </c>
      <c r="W15" s="7">
        <f t="shared" si="0"/>
        <v>0</v>
      </c>
      <c r="X15" s="7">
        <f t="shared" si="0"/>
        <v>0</v>
      </c>
      <c r="Y15" s="7">
        <f t="shared" si="0"/>
        <v>0</v>
      </c>
      <c r="Z15" s="7">
        <f t="shared" si="0"/>
        <v>1</v>
      </c>
      <c r="AA15" s="7">
        <f t="shared" si="0"/>
        <v>1</v>
      </c>
      <c r="AB15" s="7">
        <f t="shared" si="1"/>
        <v>0</v>
      </c>
      <c r="AC15" s="7">
        <f t="shared" si="2"/>
        <v>0</v>
      </c>
      <c r="AD15" s="7">
        <f t="shared" si="3"/>
        <v>0</v>
      </c>
      <c r="AE15" s="7">
        <f t="shared" si="4"/>
        <v>0</v>
      </c>
      <c r="AF15" s="7">
        <f t="shared" si="5"/>
        <v>1</v>
      </c>
      <c r="AG15" s="7">
        <f t="shared" si="6"/>
        <v>0</v>
      </c>
      <c r="AH15" s="7">
        <f t="shared" si="7"/>
        <v>0</v>
      </c>
      <c r="AI15" s="7">
        <f t="shared" si="8"/>
        <v>1</v>
      </c>
      <c r="AJ15" s="7">
        <f t="shared" si="9"/>
        <v>0</v>
      </c>
      <c r="AK15" s="7">
        <f t="shared" si="10"/>
        <v>0</v>
      </c>
      <c r="AL15" s="7">
        <f t="shared" si="11"/>
        <v>0</v>
      </c>
      <c r="AM15" s="7">
        <f t="shared" si="12"/>
        <v>1</v>
      </c>
      <c r="AN15" s="7">
        <f t="shared" si="13"/>
        <v>1</v>
      </c>
      <c r="AO15" s="7">
        <f t="shared" si="14"/>
        <v>0</v>
      </c>
      <c r="AP15" s="17">
        <f t="shared" si="15"/>
        <v>2.75</v>
      </c>
      <c r="AQ15" s="27">
        <v>3</v>
      </c>
      <c r="AR15" s="7" t="s">
        <v>27</v>
      </c>
      <c r="AS15" s="30">
        <v>6</v>
      </c>
      <c r="AT15" t="s">
        <v>40</v>
      </c>
    </row>
    <row r="16" spans="1:46" ht="12.75" x14ac:dyDescent="0.2">
      <c r="A16" s="7" t="s">
        <v>90</v>
      </c>
      <c r="B16" s="16" t="s">
        <v>46</v>
      </c>
      <c r="C16" s="16" t="s">
        <v>45</v>
      </c>
      <c r="D16" s="16" t="s">
        <v>47</v>
      </c>
      <c r="E16" s="16" t="s">
        <v>46</v>
      </c>
      <c r="F16" s="16" t="s">
        <v>45</v>
      </c>
      <c r="G16" s="16" t="s">
        <v>46</v>
      </c>
      <c r="H16" s="16" t="s">
        <v>45</v>
      </c>
      <c r="I16" s="16" t="s">
        <v>46</v>
      </c>
      <c r="J16" s="16" t="s">
        <v>45</v>
      </c>
      <c r="K16" s="16" t="s">
        <v>46</v>
      </c>
      <c r="L16" s="16" t="s">
        <v>47</v>
      </c>
      <c r="M16" s="16" t="s">
        <v>45</v>
      </c>
      <c r="N16" s="16" t="s">
        <v>48</v>
      </c>
      <c r="O16" s="16" t="s">
        <v>46</v>
      </c>
      <c r="P16" s="16" t="s">
        <v>45</v>
      </c>
      <c r="Q16" s="16" t="s">
        <v>47</v>
      </c>
      <c r="R16" s="16" t="s">
        <v>46</v>
      </c>
      <c r="S16" s="16" t="s">
        <v>48</v>
      </c>
      <c r="T16" s="16" t="s">
        <v>45</v>
      </c>
      <c r="U16" s="16" t="s">
        <v>46</v>
      </c>
      <c r="V16" s="7">
        <f t="shared" si="0"/>
        <v>0</v>
      </c>
      <c r="W16" s="7">
        <f t="shared" si="0"/>
        <v>1</v>
      </c>
      <c r="X16" s="7">
        <f t="shared" si="0"/>
        <v>0</v>
      </c>
      <c r="Y16" s="7">
        <f t="shared" si="0"/>
        <v>0</v>
      </c>
      <c r="Z16" s="7">
        <f t="shared" si="0"/>
        <v>0</v>
      </c>
      <c r="AA16" s="7">
        <f t="shared" si="0"/>
        <v>0</v>
      </c>
      <c r="AB16" s="7">
        <f t="shared" si="1"/>
        <v>1</v>
      </c>
      <c r="AC16" s="7">
        <f t="shared" si="2"/>
        <v>0</v>
      </c>
      <c r="AD16" s="7">
        <f t="shared" si="3"/>
        <v>1</v>
      </c>
      <c r="AE16" s="7">
        <f t="shared" si="4"/>
        <v>0</v>
      </c>
      <c r="AF16" s="7">
        <f t="shared" si="5"/>
        <v>0</v>
      </c>
      <c r="AG16" s="7">
        <f t="shared" si="6"/>
        <v>0</v>
      </c>
      <c r="AH16" s="7">
        <f t="shared" si="7"/>
        <v>0</v>
      </c>
      <c r="AI16" s="7">
        <f t="shared" si="8"/>
        <v>0</v>
      </c>
      <c r="AJ16" s="7">
        <f t="shared" si="9"/>
        <v>0</v>
      </c>
      <c r="AK16" s="7">
        <f t="shared" si="10"/>
        <v>0</v>
      </c>
      <c r="AL16" s="7">
        <f t="shared" si="11"/>
        <v>0</v>
      </c>
      <c r="AM16" s="7">
        <f t="shared" si="12"/>
        <v>0</v>
      </c>
      <c r="AN16" s="7">
        <f t="shared" si="13"/>
        <v>0</v>
      </c>
      <c r="AO16" s="7">
        <f t="shared" si="14"/>
        <v>1</v>
      </c>
      <c r="AP16" s="17">
        <f t="shared" si="15"/>
        <v>2</v>
      </c>
      <c r="AQ16" s="27">
        <v>2</v>
      </c>
      <c r="AR16" s="7" t="s">
        <v>28</v>
      </c>
      <c r="AS16" s="30">
        <v>9</v>
      </c>
      <c r="AT16" t="s">
        <v>40</v>
      </c>
    </row>
    <row r="17" spans="1:46" ht="12.75" x14ac:dyDescent="0.2">
      <c r="A17" s="7" t="s">
        <v>91</v>
      </c>
      <c r="B17" s="16" t="s">
        <v>45</v>
      </c>
      <c r="C17" s="16" t="s">
        <v>45</v>
      </c>
      <c r="D17" s="16" t="s">
        <v>48</v>
      </c>
      <c r="E17" s="16" t="s">
        <v>45</v>
      </c>
      <c r="F17" s="16" t="s">
        <v>47</v>
      </c>
      <c r="G17" s="16" t="s">
        <v>45</v>
      </c>
      <c r="H17" s="16" t="s">
        <v>48</v>
      </c>
      <c r="I17" s="16" t="s">
        <v>48</v>
      </c>
      <c r="J17" s="16" t="s">
        <v>45</v>
      </c>
      <c r="K17" s="16" t="s">
        <v>47</v>
      </c>
      <c r="L17" s="16" t="s">
        <v>47</v>
      </c>
      <c r="M17" s="16" t="s">
        <v>45</v>
      </c>
      <c r="N17" s="16" t="s">
        <v>45</v>
      </c>
      <c r="O17" s="16" t="s">
        <v>48</v>
      </c>
      <c r="P17" s="16" t="s">
        <v>46</v>
      </c>
      <c r="Q17" s="16" t="s">
        <v>46</v>
      </c>
      <c r="R17" s="16" t="s">
        <v>47</v>
      </c>
      <c r="S17" s="16" t="s">
        <v>47</v>
      </c>
      <c r="T17" s="16" t="s">
        <v>45</v>
      </c>
      <c r="U17" s="16" t="s">
        <v>48</v>
      </c>
      <c r="V17" s="7">
        <f t="shared" si="0"/>
        <v>1</v>
      </c>
      <c r="W17" s="7">
        <f t="shared" si="0"/>
        <v>1</v>
      </c>
      <c r="X17" s="7">
        <f t="shared" si="0"/>
        <v>0</v>
      </c>
      <c r="Y17" s="7">
        <f t="shared" si="0"/>
        <v>0</v>
      </c>
      <c r="Z17" s="7">
        <f t="shared" si="0"/>
        <v>1</v>
      </c>
      <c r="AA17" s="7">
        <f t="shared" si="0"/>
        <v>1</v>
      </c>
      <c r="AB17" s="7">
        <f t="shared" si="1"/>
        <v>0</v>
      </c>
      <c r="AC17" s="7">
        <f t="shared" si="2"/>
        <v>0</v>
      </c>
      <c r="AD17" s="7">
        <f t="shared" si="3"/>
        <v>1</v>
      </c>
      <c r="AE17" s="7">
        <f t="shared" si="4"/>
        <v>0</v>
      </c>
      <c r="AF17" s="7">
        <f t="shared" si="5"/>
        <v>0</v>
      </c>
      <c r="AG17" s="7">
        <f t="shared" si="6"/>
        <v>0</v>
      </c>
      <c r="AH17" s="7">
        <f t="shared" si="7"/>
        <v>1</v>
      </c>
      <c r="AI17" s="7">
        <f t="shared" si="8"/>
        <v>0</v>
      </c>
      <c r="AJ17" s="7">
        <f t="shared" si="9"/>
        <v>0</v>
      </c>
      <c r="AK17" s="7">
        <f t="shared" si="10"/>
        <v>1</v>
      </c>
      <c r="AL17" s="7">
        <f t="shared" si="11"/>
        <v>0</v>
      </c>
      <c r="AM17" s="7">
        <f t="shared" si="12"/>
        <v>1</v>
      </c>
      <c r="AN17" s="7">
        <f t="shared" si="13"/>
        <v>0</v>
      </c>
      <c r="AO17" s="7">
        <f t="shared" si="14"/>
        <v>0</v>
      </c>
      <c r="AP17" s="17">
        <f t="shared" si="15"/>
        <v>3</v>
      </c>
      <c r="AQ17" s="27">
        <v>2</v>
      </c>
      <c r="AR17" s="7" t="s">
        <v>29</v>
      </c>
      <c r="AS17" s="30">
        <v>2</v>
      </c>
      <c r="AT17" t="s">
        <v>40</v>
      </c>
    </row>
    <row r="18" spans="1:46" ht="12.75" x14ac:dyDescent="0.2">
      <c r="A18" s="7" t="s">
        <v>92</v>
      </c>
      <c r="B18" s="16" t="s">
        <v>46</v>
      </c>
      <c r="C18" s="16" t="s">
        <v>48</v>
      </c>
      <c r="D18" s="16" t="s">
        <v>47</v>
      </c>
      <c r="E18" s="16" t="s">
        <v>45</v>
      </c>
      <c r="F18" s="16" t="s">
        <v>48</v>
      </c>
      <c r="G18" s="16" t="s">
        <v>47</v>
      </c>
      <c r="H18" s="16" t="s">
        <v>46</v>
      </c>
      <c r="I18" s="16" t="s">
        <v>48</v>
      </c>
      <c r="J18" s="16" t="s">
        <v>45</v>
      </c>
      <c r="K18" s="16" t="s">
        <v>45</v>
      </c>
      <c r="L18" s="16" t="s">
        <v>48</v>
      </c>
      <c r="M18" s="16" t="s">
        <v>46</v>
      </c>
      <c r="N18" s="16" t="s">
        <v>48</v>
      </c>
      <c r="O18" s="16" t="s">
        <v>46</v>
      </c>
      <c r="P18" s="16" t="s">
        <v>47</v>
      </c>
      <c r="Q18" s="16" t="s">
        <v>45</v>
      </c>
      <c r="R18" s="16" t="s">
        <v>48</v>
      </c>
      <c r="S18" s="16" t="s">
        <v>47</v>
      </c>
      <c r="T18" s="16" t="s">
        <v>46</v>
      </c>
      <c r="U18" s="16" t="s">
        <v>48</v>
      </c>
      <c r="V18" s="7">
        <f t="shared" si="0"/>
        <v>0</v>
      </c>
      <c r="W18" s="7">
        <f t="shared" si="0"/>
        <v>0</v>
      </c>
      <c r="X18" s="7">
        <f t="shared" si="0"/>
        <v>0</v>
      </c>
      <c r="Y18" s="7">
        <f t="shared" si="0"/>
        <v>0</v>
      </c>
      <c r="Z18" s="7">
        <f t="shared" si="0"/>
        <v>0</v>
      </c>
      <c r="AA18" s="7">
        <f t="shared" si="0"/>
        <v>0</v>
      </c>
      <c r="AB18" s="7">
        <f t="shared" si="1"/>
        <v>0</v>
      </c>
      <c r="AC18" s="7">
        <f t="shared" si="2"/>
        <v>0</v>
      </c>
      <c r="AD18" s="7">
        <f t="shared" si="3"/>
        <v>1</v>
      </c>
      <c r="AE18" s="7">
        <f t="shared" si="4"/>
        <v>1</v>
      </c>
      <c r="AF18" s="7">
        <f t="shared" si="5"/>
        <v>0</v>
      </c>
      <c r="AG18" s="7">
        <f t="shared" si="6"/>
        <v>0</v>
      </c>
      <c r="AH18" s="7">
        <f t="shared" si="7"/>
        <v>0</v>
      </c>
      <c r="AI18" s="7">
        <f t="shared" si="8"/>
        <v>0</v>
      </c>
      <c r="AJ18" s="7">
        <f t="shared" si="9"/>
        <v>0</v>
      </c>
      <c r="AK18" s="7">
        <f t="shared" si="10"/>
        <v>0</v>
      </c>
      <c r="AL18" s="7">
        <f t="shared" si="11"/>
        <v>0</v>
      </c>
      <c r="AM18" s="7">
        <f t="shared" si="12"/>
        <v>1</v>
      </c>
      <c r="AN18" s="7">
        <f t="shared" si="13"/>
        <v>0</v>
      </c>
      <c r="AO18" s="7">
        <f t="shared" si="14"/>
        <v>0</v>
      </c>
      <c r="AP18" s="17">
        <f t="shared" si="15"/>
        <v>1.75</v>
      </c>
      <c r="AQ18" s="27">
        <v>1</v>
      </c>
      <c r="AR18" s="7" t="s">
        <v>30</v>
      </c>
      <c r="AS18" s="30">
        <v>4</v>
      </c>
      <c r="AT18" t="s">
        <v>40</v>
      </c>
    </row>
    <row r="19" spans="1:46" ht="12.75" x14ac:dyDescent="0.2">
      <c r="A19" s="7" t="s">
        <v>93</v>
      </c>
      <c r="B19" s="16" t="s">
        <v>45</v>
      </c>
      <c r="C19" s="16" t="s">
        <v>46</v>
      </c>
      <c r="D19" s="16" t="s">
        <v>45</v>
      </c>
      <c r="E19" s="16" t="s">
        <v>45</v>
      </c>
      <c r="F19" s="16" t="s">
        <v>47</v>
      </c>
      <c r="G19" s="16" t="s">
        <v>45</v>
      </c>
      <c r="H19" s="16" t="s">
        <v>46</v>
      </c>
      <c r="I19" s="16" t="s">
        <v>47</v>
      </c>
      <c r="J19" s="16" t="s">
        <v>45</v>
      </c>
      <c r="K19" s="16" t="s">
        <v>48</v>
      </c>
      <c r="L19" s="16" t="s">
        <v>46</v>
      </c>
      <c r="M19" s="16" t="s">
        <v>47</v>
      </c>
      <c r="N19" s="16" t="s">
        <v>46</v>
      </c>
      <c r="O19" s="16" t="s">
        <v>47</v>
      </c>
      <c r="P19" s="16" t="s">
        <v>45</v>
      </c>
      <c r="Q19" s="16" t="s">
        <v>48</v>
      </c>
      <c r="R19" s="16" t="s">
        <v>46</v>
      </c>
      <c r="S19" s="16" t="s">
        <v>47</v>
      </c>
      <c r="T19" s="16" t="s">
        <v>45</v>
      </c>
      <c r="U19" s="16" t="s">
        <v>48</v>
      </c>
      <c r="V19" s="7">
        <f t="shared" si="0"/>
        <v>1</v>
      </c>
      <c r="W19" s="7">
        <f t="shared" si="0"/>
        <v>0</v>
      </c>
      <c r="X19" s="7">
        <f t="shared" si="0"/>
        <v>0</v>
      </c>
      <c r="Y19" s="7">
        <f t="shared" si="0"/>
        <v>0</v>
      </c>
      <c r="Z19" s="7">
        <f t="shared" si="0"/>
        <v>1</v>
      </c>
      <c r="AA19" s="7">
        <f t="shared" si="0"/>
        <v>1</v>
      </c>
      <c r="AB19" s="7">
        <f t="shared" si="1"/>
        <v>0</v>
      </c>
      <c r="AC19" s="7">
        <f t="shared" si="2"/>
        <v>1</v>
      </c>
      <c r="AD19" s="7">
        <f t="shared" si="3"/>
        <v>1</v>
      </c>
      <c r="AE19" s="7">
        <f t="shared" si="4"/>
        <v>0</v>
      </c>
      <c r="AF19" s="7">
        <f t="shared" si="5"/>
        <v>0</v>
      </c>
      <c r="AG19" s="7">
        <f t="shared" si="6"/>
        <v>0</v>
      </c>
      <c r="AH19" s="7">
        <f t="shared" si="7"/>
        <v>0</v>
      </c>
      <c r="AI19" s="7">
        <f t="shared" si="8"/>
        <v>0</v>
      </c>
      <c r="AJ19" s="7">
        <f t="shared" si="9"/>
        <v>0</v>
      </c>
      <c r="AK19" s="7">
        <f t="shared" si="10"/>
        <v>0</v>
      </c>
      <c r="AL19" s="7">
        <f t="shared" si="11"/>
        <v>0</v>
      </c>
      <c r="AM19" s="7">
        <f t="shared" si="12"/>
        <v>1</v>
      </c>
      <c r="AN19" s="7">
        <f t="shared" si="13"/>
        <v>0</v>
      </c>
      <c r="AO19" s="7">
        <f t="shared" si="14"/>
        <v>0</v>
      </c>
      <c r="AP19" s="17">
        <f t="shared" si="15"/>
        <v>2.5</v>
      </c>
      <c r="AQ19" s="27">
        <v>1</v>
      </c>
      <c r="AR19" s="7" t="s">
        <v>31</v>
      </c>
      <c r="AS19" s="30">
        <v>7</v>
      </c>
      <c r="AT19" t="s">
        <v>40</v>
      </c>
    </row>
    <row r="20" spans="1:46" ht="12.75" x14ac:dyDescent="0.2">
      <c r="A20" s="7" t="s">
        <v>94</v>
      </c>
      <c r="B20" s="16" t="s">
        <v>46</v>
      </c>
      <c r="C20" s="16" t="s">
        <v>46</v>
      </c>
      <c r="D20" s="16" t="s">
        <v>46</v>
      </c>
      <c r="E20" s="16" t="s">
        <v>48</v>
      </c>
      <c r="F20" s="16" t="s">
        <v>45</v>
      </c>
      <c r="G20" s="16" t="s">
        <v>45</v>
      </c>
      <c r="H20" s="16" t="s">
        <v>46</v>
      </c>
      <c r="I20" s="16" t="s">
        <v>48</v>
      </c>
      <c r="J20" s="16" t="s">
        <v>47</v>
      </c>
      <c r="K20" s="16" t="s">
        <v>47</v>
      </c>
      <c r="L20" s="16" t="s">
        <v>45</v>
      </c>
      <c r="M20" s="16" t="s">
        <v>48</v>
      </c>
      <c r="N20" s="16" t="s">
        <v>46</v>
      </c>
      <c r="O20" s="16" t="s">
        <v>45</v>
      </c>
      <c r="P20" s="16" t="s">
        <v>47</v>
      </c>
      <c r="Q20" s="16" t="s">
        <v>46</v>
      </c>
      <c r="R20" s="16" t="s">
        <v>48</v>
      </c>
      <c r="S20" s="16" t="s">
        <v>45</v>
      </c>
      <c r="T20" s="16" t="s">
        <v>47</v>
      </c>
      <c r="U20" s="16" t="s">
        <v>6</v>
      </c>
      <c r="V20" s="7">
        <f t="shared" ref="V20:AA35" si="16">IF(B20=B$3,1,0)</f>
        <v>0</v>
      </c>
      <c r="W20" s="7">
        <f t="shared" si="16"/>
        <v>0</v>
      </c>
      <c r="X20" s="7">
        <f t="shared" si="16"/>
        <v>1</v>
      </c>
      <c r="Y20" s="7">
        <f t="shared" si="16"/>
        <v>0</v>
      </c>
      <c r="Z20" s="7">
        <f t="shared" si="16"/>
        <v>0</v>
      </c>
      <c r="AA20" s="7">
        <f t="shared" si="16"/>
        <v>1</v>
      </c>
      <c r="AB20" s="7">
        <f t="shared" si="1"/>
        <v>0</v>
      </c>
      <c r="AC20" s="7">
        <f t="shared" si="2"/>
        <v>0</v>
      </c>
      <c r="AD20" s="7">
        <f t="shared" si="3"/>
        <v>0</v>
      </c>
      <c r="AE20" s="7">
        <f t="shared" si="4"/>
        <v>0</v>
      </c>
      <c r="AF20" s="7">
        <f t="shared" si="5"/>
        <v>1</v>
      </c>
      <c r="AG20" s="7">
        <f t="shared" si="6"/>
        <v>1</v>
      </c>
      <c r="AH20" s="7">
        <f t="shared" si="7"/>
        <v>0</v>
      </c>
      <c r="AI20" s="7">
        <f t="shared" si="8"/>
        <v>1</v>
      </c>
      <c r="AJ20" s="7">
        <f t="shared" si="9"/>
        <v>0</v>
      </c>
      <c r="AK20" s="7">
        <f t="shared" si="10"/>
        <v>1</v>
      </c>
      <c r="AL20" s="7">
        <f t="shared" si="11"/>
        <v>0</v>
      </c>
      <c r="AM20" s="7">
        <f t="shared" si="12"/>
        <v>0</v>
      </c>
      <c r="AN20" s="7">
        <f t="shared" si="13"/>
        <v>0</v>
      </c>
      <c r="AO20" s="7">
        <f t="shared" si="14"/>
        <v>0</v>
      </c>
      <c r="AP20" s="17">
        <f t="shared" si="15"/>
        <v>2.5</v>
      </c>
      <c r="AQ20" s="27">
        <v>2</v>
      </c>
      <c r="AR20" s="7" t="s">
        <v>32</v>
      </c>
      <c r="AS20" s="30">
        <v>4</v>
      </c>
      <c r="AT20" t="s">
        <v>40</v>
      </c>
    </row>
    <row r="21" spans="1:46" ht="12.75" x14ac:dyDescent="0.2">
      <c r="A21" s="7" t="s">
        <v>95</v>
      </c>
      <c r="B21" s="16" t="s">
        <v>45</v>
      </c>
      <c r="C21" s="16" t="s">
        <v>46</v>
      </c>
      <c r="D21" s="16" t="s">
        <v>47</v>
      </c>
      <c r="E21" s="16" t="s">
        <v>47</v>
      </c>
      <c r="F21" s="16" t="s">
        <v>47</v>
      </c>
      <c r="G21" s="16" t="s">
        <v>45</v>
      </c>
      <c r="H21" s="16" t="s">
        <v>46</v>
      </c>
      <c r="I21" s="16" t="s">
        <v>47</v>
      </c>
      <c r="J21" s="16" t="s">
        <v>45</v>
      </c>
      <c r="K21" s="16" t="s">
        <v>48</v>
      </c>
      <c r="L21" s="16" t="s">
        <v>47</v>
      </c>
      <c r="M21" s="16" t="s">
        <v>47</v>
      </c>
      <c r="N21" s="16" t="s">
        <v>46</v>
      </c>
      <c r="O21" s="16" t="s">
        <v>47</v>
      </c>
      <c r="P21" s="16" t="s">
        <v>45</v>
      </c>
      <c r="Q21" s="16" t="s">
        <v>48</v>
      </c>
      <c r="R21" s="16" t="s">
        <v>46</v>
      </c>
      <c r="S21" s="16" t="s">
        <v>47</v>
      </c>
      <c r="T21" s="16" t="s">
        <v>45</v>
      </c>
      <c r="U21" s="16" t="s">
        <v>48</v>
      </c>
      <c r="V21" s="7">
        <f t="shared" si="16"/>
        <v>1</v>
      </c>
      <c r="W21" s="7">
        <f t="shared" si="16"/>
        <v>0</v>
      </c>
      <c r="X21" s="7">
        <f t="shared" si="16"/>
        <v>0</v>
      </c>
      <c r="Y21" s="7">
        <f t="shared" si="16"/>
        <v>1</v>
      </c>
      <c r="Z21" s="7">
        <f t="shared" si="16"/>
        <v>1</v>
      </c>
      <c r="AA21" s="7">
        <f t="shared" si="16"/>
        <v>1</v>
      </c>
      <c r="AB21" s="7">
        <f t="shared" si="1"/>
        <v>0</v>
      </c>
      <c r="AC21" s="7">
        <f t="shared" si="2"/>
        <v>1</v>
      </c>
      <c r="AD21" s="7">
        <f t="shared" si="3"/>
        <v>1</v>
      </c>
      <c r="AE21" s="7">
        <f t="shared" si="4"/>
        <v>0</v>
      </c>
      <c r="AF21" s="7">
        <f t="shared" si="5"/>
        <v>0</v>
      </c>
      <c r="AG21" s="7">
        <f t="shared" si="6"/>
        <v>0</v>
      </c>
      <c r="AH21" s="7">
        <f t="shared" si="7"/>
        <v>0</v>
      </c>
      <c r="AI21" s="7">
        <f t="shared" si="8"/>
        <v>0</v>
      </c>
      <c r="AJ21" s="7">
        <f t="shared" si="9"/>
        <v>0</v>
      </c>
      <c r="AK21" s="7">
        <f t="shared" si="10"/>
        <v>0</v>
      </c>
      <c r="AL21" s="7">
        <f t="shared" si="11"/>
        <v>0</v>
      </c>
      <c r="AM21" s="7">
        <f t="shared" si="12"/>
        <v>1</v>
      </c>
      <c r="AN21" s="7">
        <f t="shared" si="13"/>
        <v>0</v>
      </c>
      <c r="AO21" s="7">
        <f t="shared" si="14"/>
        <v>0</v>
      </c>
      <c r="AP21" s="17">
        <f t="shared" si="15"/>
        <v>2.75</v>
      </c>
      <c r="AQ21" s="27">
        <v>1</v>
      </c>
      <c r="AR21" s="7" t="s">
        <v>33</v>
      </c>
      <c r="AS21" s="30">
        <v>15</v>
      </c>
      <c r="AT21" t="s">
        <v>40</v>
      </c>
    </row>
    <row r="22" spans="1:46" ht="12.75" x14ac:dyDescent="0.2">
      <c r="A22" s="7" t="s">
        <v>96</v>
      </c>
      <c r="B22" s="16" t="s">
        <v>47</v>
      </c>
      <c r="C22" s="16" t="s">
        <v>48</v>
      </c>
      <c r="D22" s="16" t="s">
        <v>46</v>
      </c>
      <c r="E22" s="16" t="s">
        <v>46</v>
      </c>
      <c r="F22" s="16" t="s">
        <v>47</v>
      </c>
      <c r="G22" s="16" t="s">
        <v>45</v>
      </c>
      <c r="H22" s="16" t="s">
        <v>45</v>
      </c>
      <c r="I22" s="16" t="s">
        <v>46</v>
      </c>
      <c r="J22" s="16" t="s">
        <v>47</v>
      </c>
      <c r="K22" s="16" t="s">
        <v>47</v>
      </c>
      <c r="L22" s="16" t="s">
        <v>45</v>
      </c>
      <c r="M22" s="16" t="s">
        <v>46</v>
      </c>
      <c r="N22" s="16" t="s">
        <v>46</v>
      </c>
      <c r="O22" s="16" t="s">
        <v>46</v>
      </c>
      <c r="P22" s="16" t="s">
        <v>6</v>
      </c>
      <c r="Q22" s="16" t="s">
        <v>45</v>
      </c>
      <c r="R22" s="16" t="s">
        <v>47</v>
      </c>
      <c r="S22" s="16" t="s">
        <v>48</v>
      </c>
      <c r="T22" s="16" t="s">
        <v>46</v>
      </c>
      <c r="U22" s="16" t="s">
        <v>47</v>
      </c>
      <c r="V22" s="7">
        <f t="shared" si="16"/>
        <v>0</v>
      </c>
      <c r="W22" s="7">
        <f t="shared" si="16"/>
        <v>0</v>
      </c>
      <c r="X22" s="7">
        <f t="shared" si="16"/>
        <v>1</v>
      </c>
      <c r="Y22" s="7">
        <f t="shared" si="16"/>
        <v>0</v>
      </c>
      <c r="Z22" s="7">
        <f t="shared" si="16"/>
        <v>1</v>
      </c>
      <c r="AA22" s="7">
        <f t="shared" si="16"/>
        <v>1</v>
      </c>
      <c r="AB22" s="7">
        <f t="shared" si="1"/>
        <v>1</v>
      </c>
      <c r="AC22" s="7">
        <f t="shared" si="2"/>
        <v>0</v>
      </c>
      <c r="AD22" s="7">
        <f t="shared" si="3"/>
        <v>0</v>
      </c>
      <c r="AE22" s="7">
        <f t="shared" si="4"/>
        <v>0</v>
      </c>
      <c r="AF22" s="7">
        <f t="shared" si="5"/>
        <v>1</v>
      </c>
      <c r="AG22" s="7">
        <f t="shared" si="6"/>
        <v>0</v>
      </c>
      <c r="AH22" s="7">
        <f t="shared" si="7"/>
        <v>0</v>
      </c>
      <c r="AI22" s="7">
        <f t="shared" si="8"/>
        <v>0</v>
      </c>
      <c r="AJ22" s="7">
        <f t="shared" si="9"/>
        <v>0</v>
      </c>
      <c r="AK22" s="7">
        <f t="shared" si="10"/>
        <v>0</v>
      </c>
      <c r="AL22" s="7">
        <f t="shared" si="11"/>
        <v>0</v>
      </c>
      <c r="AM22" s="7">
        <f t="shared" si="12"/>
        <v>0</v>
      </c>
      <c r="AN22" s="7">
        <f t="shared" si="13"/>
        <v>0</v>
      </c>
      <c r="AO22" s="7">
        <f t="shared" si="14"/>
        <v>0</v>
      </c>
      <c r="AP22" s="17">
        <f t="shared" si="15"/>
        <v>2.25</v>
      </c>
      <c r="AQ22" s="27">
        <v>1</v>
      </c>
      <c r="AR22" s="7" t="s">
        <v>34</v>
      </c>
      <c r="AS22" s="30">
        <v>2</v>
      </c>
      <c r="AT22" t="s">
        <v>40</v>
      </c>
    </row>
    <row r="23" spans="1:46" ht="13.5" thickBot="1" x14ac:dyDescent="0.25">
      <c r="A23" s="7" t="s">
        <v>97</v>
      </c>
      <c r="B23" s="16" t="s">
        <v>45</v>
      </c>
      <c r="C23" s="16" t="s">
        <v>46</v>
      </c>
      <c r="D23" s="16" t="s">
        <v>45</v>
      </c>
      <c r="E23" s="16" t="s">
        <v>46</v>
      </c>
      <c r="F23" s="16" t="s">
        <v>47</v>
      </c>
      <c r="G23" s="16" t="s">
        <v>45</v>
      </c>
      <c r="H23" s="16" t="s">
        <v>46</v>
      </c>
      <c r="I23" s="16" t="s">
        <v>47</v>
      </c>
      <c r="J23" s="16" t="s">
        <v>45</v>
      </c>
      <c r="K23" s="16" t="s">
        <v>48</v>
      </c>
      <c r="L23" s="16" t="s">
        <v>47</v>
      </c>
      <c r="M23" s="16" t="s">
        <v>47</v>
      </c>
      <c r="N23" s="16" t="s">
        <v>46</v>
      </c>
      <c r="O23" s="16" t="s">
        <v>47</v>
      </c>
      <c r="P23" s="16" t="s">
        <v>45</v>
      </c>
      <c r="Q23" s="16" t="s">
        <v>48</v>
      </c>
      <c r="R23" s="16" t="s">
        <v>46</v>
      </c>
      <c r="S23" s="16" t="s">
        <v>47</v>
      </c>
      <c r="T23" s="16" t="s">
        <v>45</v>
      </c>
      <c r="U23" s="16" t="s">
        <v>46</v>
      </c>
      <c r="V23" s="7">
        <f t="shared" si="16"/>
        <v>1</v>
      </c>
      <c r="W23" s="7">
        <f t="shared" si="16"/>
        <v>0</v>
      </c>
      <c r="X23" s="7">
        <f t="shared" si="16"/>
        <v>0</v>
      </c>
      <c r="Y23" s="7">
        <f t="shared" si="16"/>
        <v>0</v>
      </c>
      <c r="Z23" s="7">
        <f t="shared" si="16"/>
        <v>1</v>
      </c>
      <c r="AA23" s="7">
        <f t="shared" si="16"/>
        <v>1</v>
      </c>
      <c r="AB23" s="7">
        <f t="shared" si="1"/>
        <v>0</v>
      </c>
      <c r="AC23" s="7">
        <f t="shared" si="2"/>
        <v>1</v>
      </c>
      <c r="AD23" s="7">
        <f t="shared" si="3"/>
        <v>1</v>
      </c>
      <c r="AE23" s="7">
        <f t="shared" si="4"/>
        <v>0</v>
      </c>
      <c r="AF23" s="7">
        <f t="shared" si="5"/>
        <v>0</v>
      </c>
      <c r="AG23" s="7">
        <f t="shared" si="6"/>
        <v>0</v>
      </c>
      <c r="AH23" s="7">
        <f t="shared" si="7"/>
        <v>0</v>
      </c>
      <c r="AI23" s="7">
        <f t="shared" si="8"/>
        <v>0</v>
      </c>
      <c r="AJ23" s="7">
        <f t="shared" si="9"/>
        <v>0</v>
      </c>
      <c r="AK23" s="7">
        <f t="shared" si="10"/>
        <v>0</v>
      </c>
      <c r="AL23" s="7">
        <f t="shared" si="11"/>
        <v>0</v>
      </c>
      <c r="AM23" s="7">
        <f t="shared" si="12"/>
        <v>1</v>
      </c>
      <c r="AN23" s="7">
        <f t="shared" si="13"/>
        <v>0</v>
      </c>
      <c r="AO23" s="7">
        <f t="shared" si="14"/>
        <v>1</v>
      </c>
      <c r="AP23" s="17">
        <f t="shared" si="15"/>
        <v>2.75</v>
      </c>
      <c r="AQ23" s="27">
        <v>1</v>
      </c>
      <c r="AR23" s="7" t="s">
        <v>35</v>
      </c>
      <c r="AS23" s="49">
        <v>5</v>
      </c>
      <c r="AT23" t="s">
        <v>40</v>
      </c>
    </row>
    <row r="24" spans="1:46" ht="12.75" x14ac:dyDescent="0.2">
      <c r="A24" s="7" t="s">
        <v>98</v>
      </c>
      <c r="B24" s="16" t="s">
        <v>45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45</v>
      </c>
      <c r="H24" s="16" t="s">
        <v>45</v>
      </c>
      <c r="I24" s="16" t="s">
        <v>46</v>
      </c>
      <c r="J24" s="16" t="s">
        <v>48</v>
      </c>
      <c r="K24" s="16" t="s">
        <v>45</v>
      </c>
      <c r="L24" s="16" t="s">
        <v>46</v>
      </c>
      <c r="M24" s="16" t="s">
        <v>46</v>
      </c>
      <c r="N24" s="16" t="s">
        <v>45</v>
      </c>
      <c r="O24" s="16" t="s">
        <v>47</v>
      </c>
      <c r="P24" s="16" t="s">
        <v>48</v>
      </c>
      <c r="Q24" s="16" t="s">
        <v>48</v>
      </c>
      <c r="R24" s="16" t="s">
        <v>46</v>
      </c>
      <c r="S24" s="16" t="s">
        <v>47</v>
      </c>
      <c r="T24" s="16" t="s">
        <v>47</v>
      </c>
      <c r="U24" s="16" t="s">
        <v>48</v>
      </c>
      <c r="V24" s="7">
        <f t="shared" si="16"/>
        <v>1</v>
      </c>
      <c r="W24" s="7">
        <f t="shared" si="16"/>
        <v>0</v>
      </c>
      <c r="X24" s="7">
        <f t="shared" si="16"/>
        <v>0</v>
      </c>
      <c r="Y24" s="7">
        <f t="shared" si="16"/>
        <v>1</v>
      </c>
      <c r="Z24" s="7">
        <f t="shared" si="16"/>
        <v>1</v>
      </c>
      <c r="AA24" s="7">
        <f t="shared" si="16"/>
        <v>1</v>
      </c>
      <c r="AB24" s="7">
        <f t="shared" si="1"/>
        <v>1</v>
      </c>
      <c r="AC24" s="7">
        <f t="shared" si="2"/>
        <v>0</v>
      </c>
      <c r="AD24" s="7">
        <f t="shared" si="3"/>
        <v>0</v>
      </c>
      <c r="AE24" s="7">
        <f t="shared" si="4"/>
        <v>1</v>
      </c>
      <c r="AF24" s="7">
        <f t="shared" si="5"/>
        <v>0</v>
      </c>
      <c r="AG24" s="7">
        <f t="shared" si="6"/>
        <v>0</v>
      </c>
      <c r="AH24" s="7">
        <f t="shared" si="7"/>
        <v>1</v>
      </c>
      <c r="AI24" s="7">
        <f t="shared" si="8"/>
        <v>0</v>
      </c>
      <c r="AJ24" s="7">
        <f t="shared" si="9"/>
        <v>1</v>
      </c>
      <c r="AK24" s="7">
        <f t="shared" si="10"/>
        <v>0</v>
      </c>
      <c r="AL24" s="7">
        <f t="shared" si="11"/>
        <v>0</v>
      </c>
      <c r="AM24" s="7">
        <f t="shared" si="12"/>
        <v>1</v>
      </c>
      <c r="AN24" s="7">
        <f t="shared" si="13"/>
        <v>0</v>
      </c>
      <c r="AO24" s="7">
        <f t="shared" si="14"/>
        <v>0</v>
      </c>
      <c r="AP24" s="17">
        <f t="shared" si="15"/>
        <v>3.25</v>
      </c>
      <c r="AS24" s="55" t="s">
        <v>178</v>
      </c>
      <c r="AT24" t="s">
        <v>40</v>
      </c>
    </row>
    <row r="25" spans="1:46" ht="12.75" x14ac:dyDescent="0.2">
      <c r="A25" s="7" t="s">
        <v>99</v>
      </c>
      <c r="B25" s="16" t="s">
        <v>45</v>
      </c>
      <c r="C25" s="16" t="s">
        <v>46</v>
      </c>
      <c r="D25" s="16" t="s">
        <v>45</v>
      </c>
      <c r="E25" s="16" t="s">
        <v>46</v>
      </c>
      <c r="F25" s="16" t="s">
        <v>47</v>
      </c>
      <c r="G25" s="16" t="s">
        <v>45</v>
      </c>
      <c r="H25" s="16" t="s">
        <v>46</v>
      </c>
      <c r="I25" s="16" t="s">
        <v>47</v>
      </c>
      <c r="J25" s="16" t="s">
        <v>45</v>
      </c>
      <c r="K25" s="16" t="s">
        <v>48</v>
      </c>
      <c r="L25" s="16" t="s">
        <v>47</v>
      </c>
      <c r="M25" s="16" t="s">
        <v>47</v>
      </c>
      <c r="N25" s="16" t="s">
        <v>48</v>
      </c>
      <c r="O25" s="16" t="s">
        <v>47</v>
      </c>
      <c r="P25" s="16" t="s">
        <v>48</v>
      </c>
      <c r="Q25" s="16" t="s">
        <v>47</v>
      </c>
      <c r="R25" s="16" t="s">
        <v>45</v>
      </c>
      <c r="S25" s="16" t="s">
        <v>47</v>
      </c>
      <c r="T25" s="16" t="s">
        <v>45</v>
      </c>
      <c r="U25" s="16" t="s">
        <v>47</v>
      </c>
      <c r="V25" s="7">
        <f t="shared" si="16"/>
        <v>1</v>
      </c>
      <c r="W25" s="7">
        <f t="shared" si="16"/>
        <v>0</v>
      </c>
      <c r="X25" s="7">
        <f t="shared" si="16"/>
        <v>0</v>
      </c>
      <c r="Y25" s="7">
        <f t="shared" si="16"/>
        <v>0</v>
      </c>
      <c r="Z25" s="7">
        <f t="shared" si="16"/>
        <v>1</v>
      </c>
      <c r="AA25" s="7">
        <f t="shared" si="16"/>
        <v>1</v>
      </c>
      <c r="AB25" s="7">
        <f t="shared" si="1"/>
        <v>0</v>
      </c>
      <c r="AC25" s="7">
        <f t="shared" si="2"/>
        <v>1</v>
      </c>
      <c r="AD25" s="7">
        <f t="shared" si="3"/>
        <v>1</v>
      </c>
      <c r="AE25" s="7">
        <f t="shared" si="4"/>
        <v>0</v>
      </c>
      <c r="AF25" s="7">
        <f t="shared" si="5"/>
        <v>0</v>
      </c>
      <c r="AG25" s="7">
        <f t="shared" si="6"/>
        <v>0</v>
      </c>
      <c r="AH25" s="7">
        <f t="shared" si="7"/>
        <v>0</v>
      </c>
      <c r="AI25" s="7">
        <f t="shared" si="8"/>
        <v>0</v>
      </c>
      <c r="AJ25" s="7">
        <f t="shared" si="9"/>
        <v>1</v>
      </c>
      <c r="AK25" s="7">
        <f t="shared" si="10"/>
        <v>0</v>
      </c>
      <c r="AL25" s="7">
        <f t="shared" si="11"/>
        <v>1</v>
      </c>
      <c r="AM25" s="7">
        <f t="shared" si="12"/>
        <v>1</v>
      </c>
      <c r="AN25" s="7">
        <f t="shared" si="13"/>
        <v>0</v>
      </c>
      <c r="AO25" s="7">
        <f t="shared" si="14"/>
        <v>0</v>
      </c>
      <c r="AP25" s="17">
        <f t="shared" si="15"/>
        <v>3</v>
      </c>
      <c r="AS25" s="56"/>
      <c r="AT25" t="s">
        <v>40</v>
      </c>
    </row>
    <row r="26" spans="1:46" ht="12.75" x14ac:dyDescent="0.2">
      <c r="A26" s="7" t="s">
        <v>100</v>
      </c>
      <c r="B26" s="16" t="s">
        <v>45</v>
      </c>
      <c r="C26" s="16" t="s">
        <v>47</v>
      </c>
      <c r="D26" s="16" t="s">
        <v>46</v>
      </c>
      <c r="E26" s="16" t="s">
        <v>47</v>
      </c>
      <c r="F26" s="16" t="s">
        <v>45</v>
      </c>
      <c r="G26" s="16" t="s">
        <v>47</v>
      </c>
      <c r="H26" s="16" t="s">
        <v>48</v>
      </c>
      <c r="I26" s="16" t="s">
        <v>48</v>
      </c>
      <c r="J26" s="16" t="s">
        <v>45</v>
      </c>
      <c r="K26" s="16" t="s">
        <v>47</v>
      </c>
      <c r="L26" s="16" t="s">
        <v>48</v>
      </c>
      <c r="M26" s="16" t="s">
        <v>46</v>
      </c>
      <c r="N26" s="16" t="s">
        <v>45</v>
      </c>
      <c r="O26" s="16" t="s">
        <v>47</v>
      </c>
      <c r="P26" s="16" t="s">
        <v>45</v>
      </c>
      <c r="Q26" s="16" t="s">
        <v>45</v>
      </c>
      <c r="R26" s="16" t="s">
        <v>47</v>
      </c>
      <c r="S26" s="16" t="s">
        <v>45</v>
      </c>
      <c r="T26" s="16" t="s">
        <v>46</v>
      </c>
      <c r="U26" s="16" t="s">
        <v>48</v>
      </c>
      <c r="V26" s="7">
        <f t="shared" si="16"/>
        <v>1</v>
      </c>
      <c r="W26" s="7">
        <f t="shared" si="16"/>
        <v>0</v>
      </c>
      <c r="X26" s="7">
        <f t="shared" si="16"/>
        <v>1</v>
      </c>
      <c r="Y26" s="7">
        <f t="shared" si="16"/>
        <v>1</v>
      </c>
      <c r="Z26" s="7">
        <f t="shared" si="16"/>
        <v>0</v>
      </c>
      <c r="AA26" s="7">
        <f t="shared" si="16"/>
        <v>0</v>
      </c>
      <c r="AB26" s="7">
        <f t="shared" si="1"/>
        <v>0</v>
      </c>
      <c r="AC26" s="7">
        <f t="shared" si="2"/>
        <v>0</v>
      </c>
      <c r="AD26" s="7">
        <f t="shared" si="3"/>
        <v>1</v>
      </c>
      <c r="AE26" s="7">
        <f t="shared" si="4"/>
        <v>0</v>
      </c>
      <c r="AF26" s="7">
        <f t="shared" si="5"/>
        <v>0</v>
      </c>
      <c r="AG26" s="7">
        <f t="shared" si="6"/>
        <v>0</v>
      </c>
      <c r="AH26" s="7">
        <f t="shared" si="7"/>
        <v>1</v>
      </c>
      <c r="AI26" s="7">
        <f t="shared" si="8"/>
        <v>0</v>
      </c>
      <c r="AJ26" s="7">
        <f t="shared" si="9"/>
        <v>0</v>
      </c>
      <c r="AK26" s="7">
        <f t="shared" si="10"/>
        <v>0</v>
      </c>
      <c r="AL26" s="7">
        <f t="shared" si="11"/>
        <v>0</v>
      </c>
      <c r="AM26" s="7">
        <f t="shared" si="12"/>
        <v>0</v>
      </c>
      <c r="AN26" s="7">
        <f t="shared" si="13"/>
        <v>0</v>
      </c>
      <c r="AO26" s="7">
        <f t="shared" si="14"/>
        <v>0</v>
      </c>
      <c r="AP26" s="17">
        <f t="shared" si="15"/>
        <v>2.25</v>
      </c>
      <c r="AS26" s="56"/>
      <c r="AT26" t="s">
        <v>40</v>
      </c>
    </row>
    <row r="27" spans="1:46" ht="12.75" x14ac:dyDescent="0.2">
      <c r="A27" s="7" t="s">
        <v>101</v>
      </c>
      <c r="B27" s="16" t="s">
        <v>45</v>
      </c>
      <c r="C27" s="16" t="s">
        <v>47</v>
      </c>
      <c r="D27" s="16" t="s">
        <v>46</v>
      </c>
      <c r="E27" s="16" t="s">
        <v>46</v>
      </c>
      <c r="F27" s="16" t="s">
        <v>46</v>
      </c>
      <c r="G27" s="16" t="s">
        <v>47</v>
      </c>
      <c r="H27" s="16" t="s">
        <v>48</v>
      </c>
      <c r="I27" s="16" t="s">
        <v>48</v>
      </c>
      <c r="J27" s="16" t="s">
        <v>47</v>
      </c>
      <c r="K27" s="16" t="s">
        <v>47</v>
      </c>
      <c r="L27" s="16" t="s">
        <v>48</v>
      </c>
      <c r="M27" s="16" t="s">
        <v>47</v>
      </c>
      <c r="N27" s="16" t="s">
        <v>48</v>
      </c>
      <c r="O27" s="16" t="s">
        <v>47</v>
      </c>
      <c r="P27" s="16" t="s">
        <v>48</v>
      </c>
      <c r="Q27" s="16" t="s">
        <v>45</v>
      </c>
      <c r="R27" s="16" t="s">
        <v>47</v>
      </c>
      <c r="S27" s="16" t="s">
        <v>47</v>
      </c>
      <c r="T27" s="16" t="s">
        <v>47</v>
      </c>
      <c r="U27" s="16" t="s">
        <v>48</v>
      </c>
      <c r="V27" s="7">
        <f t="shared" si="16"/>
        <v>1</v>
      </c>
      <c r="W27" s="7">
        <f t="shared" si="16"/>
        <v>0</v>
      </c>
      <c r="X27" s="7">
        <f t="shared" si="16"/>
        <v>1</v>
      </c>
      <c r="Y27" s="7">
        <f t="shared" si="16"/>
        <v>0</v>
      </c>
      <c r="Z27" s="7">
        <f t="shared" si="16"/>
        <v>0</v>
      </c>
      <c r="AA27" s="7">
        <f t="shared" si="16"/>
        <v>0</v>
      </c>
      <c r="AB27" s="7">
        <f t="shared" si="1"/>
        <v>0</v>
      </c>
      <c r="AC27" s="7">
        <f t="shared" si="2"/>
        <v>0</v>
      </c>
      <c r="AD27" s="7">
        <f t="shared" si="3"/>
        <v>0</v>
      </c>
      <c r="AE27" s="7">
        <f t="shared" si="4"/>
        <v>0</v>
      </c>
      <c r="AF27" s="7">
        <f t="shared" si="5"/>
        <v>0</v>
      </c>
      <c r="AG27" s="7">
        <f t="shared" si="6"/>
        <v>0</v>
      </c>
      <c r="AH27" s="7">
        <f t="shared" si="7"/>
        <v>0</v>
      </c>
      <c r="AI27" s="7">
        <f t="shared" si="8"/>
        <v>0</v>
      </c>
      <c r="AJ27" s="7">
        <f t="shared" si="9"/>
        <v>1</v>
      </c>
      <c r="AK27" s="7">
        <f t="shared" si="10"/>
        <v>0</v>
      </c>
      <c r="AL27" s="7">
        <f t="shared" si="11"/>
        <v>0</v>
      </c>
      <c r="AM27" s="7">
        <f t="shared" si="12"/>
        <v>1</v>
      </c>
      <c r="AN27" s="7">
        <f t="shared" si="13"/>
        <v>0</v>
      </c>
      <c r="AO27" s="7">
        <f t="shared" si="14"/>
        <v>0</v>
      </c>
      <c r="AP27" s="17">
        <f t="shared" si="15"/>
        <v>2</v>
      </c>
      <c r="AS27" s="56"/>
      <c r="AT27" t="s">
        <v>40</v>
      </c>
    </row>
    <row r="28" spans="1:46" ht="12.75" x14ac:dyDescent="0.2">
      <c r="A28" s="7" t="s">
        <v>102</v>
      </c>
      <c r="B28" s="16" t="s">
        <v>47</v>
      </c>
      <c r="C28" s="16" t="s">
        <v>45</v>
      </c>
      <c r="D28" s="16" t="s">
        <v>46</v>
      </c>
      <c r="E28" s="16" t="s">
        <v>46</v>
      </c>
      <c r="F28" s="16" t="s">
        <v>45</v>
      </c>
      <c r="G28" s="16" t="s">
        <v>47</v>
      </c>
      <c r="H28" s="16" t="s">
        <v>45</v>
      </c>
      <c r="I28" s="16" t="s">
        <v>48</v>
      </c>
      <c r="J28" s="16" t="s">
        <v>46</v>
      </c>
      <c r="K28" s="16" t="s">
        <v>48</v>
      </c>
      <c r="L28" s="16" t="s">
        <v>46</v>
      </c>
      <c r="M28" s="16" t="s">
        <v>46</v>
      </c>
      <c r="N28" s="16" t="s">
        <v>48</v>
      </c>
      <c r="O28" s="16" t="s">
        <v>48</v>
      </c>
      <c r="P28" s="16" t="s">
        <v>46</v>
      </c>
      <c r="Q28" s="16" t="s">
        <v>45</v>
      </c>
      <c r="R28" s="16" t="s">
        <v>47</v>
      </c>
      <c r="S28" s="16" t="s">
        <v>46</v>
      </c>
      <c r="T28" s="16" t="s">
        <v>47</v>
      </c>
      <c r="U28" s="16" t="s">
        <v>45</v>
      </c>
      <c r="V28" s="7">
        <f t="shared" si="16"/>
        <v>0</v>
      </c>
      <c r="W28" s="7">
        <f t="shared" si="16"/>
        <v>1</v>
      </c>
      <c r="X28" s="7">
        <f t="shared" si="16"/>
        <v>1</v>
      </c>
      <c r="Y28" s="7">
        <f t="shared" si="16"/>
        <v>0</v>
      </c>
      <c r="Z28" s="7">
        <f t="shared" si="16"/>
        <v>0</v>
      </c>
      <c r="AA28" s="7">
        <f t="shared" si="16"/>
        <v>0</v>
      </c>
      <c r="AB28" s="7">
        <f t="shared" si="1"/>
        <v>1</v>
      </c>
      <c r="AC28" s="7">
        <f t="shared" si="2"/>
        <v>0</v>
      </c>
      <c r="AD28" s="7">
        <f t="shared" si="3"/>
        <v>0</v>
      </c>
      <c r="AE28" s="7">
        <f t="shared" si="4"/>
        <v>0</v>
      </c>
      <c r="AF28" s="7">
        <f t="shared" si="5"/>
        <v>0</v>
      </c>
      <c r="AG28" s="7">
        <f t="shared" si="6"/>
        <v>0</v>
      </c>
      <c r="AH28" s="7">
        <f t="shared" si="7"/>
        <v>0</v>
      </c>
      <c r="AI28" s="7">
        <f t="shared" si="8"/>
        <v>0</v>
      </c>
      <c r="AJ28" s="7">
        <f t="shared" si="9"/>
        <v>0</v>
      </c>
      <c r="AK28" s="7">
        <f t="shared" si="10"/>
        <v>0</v>
      </c>
      <c r="AL28" s="7">
        <f t="shared" si="11"/>
        <v>0</v>
      </c>
      <c r="AM28" s="7">
        <f t="shared" si="12"/>
        <v>0</v>
      </c>
      <c r="AN28" s="7">
        <f t="shared" si="13"/>
        <v>0</v>
      </c>
      <c r="AO28" s="7">
        <f t="shared" si="14"/>
        <v>0</v>
      </c>
      <c r="AP28" s="17">
        <f t="shared" si="15"/>
        <v>1.75</v>
      </c>
      <c r="AS28" s="56"/>
      <c r="AT28" t="s">
        <v>40</v>
      </c>
    </row>
    <row r="29" spans="1:46" ht="12.75" x14ac:dyDescent="0.2">
      <c r="A29" s="7" t="s">
        <v>103</v>
      </c>
      <c r="B29" s="16" t="s">
        <v>47</v>
      </c>
      <c r="C29" s="16" t="s">
        <v>47</v>
      </c>
      <c r="D29" s="16" t="s">
        <v>48</v>
      </c>
      <c r="E29" s="16" t="s">
        <v>47</v>
      </c>
      <c r="F29" s="16" t="s">
        <v>48</v>
      </c>
      <c r="G29" s="16" t="s">
        <v>48</v>
      </c>
      <c r="H29" s="16" t="s">
        <v>46</v>
      </c>
      <c r="I29" s="16" t="s">
        <v>48</v>
      </c>
      <c r="J29" s="16" t="s">
        <v>47</v>
      </c>
      <c r="K29" s="16" t="s">
        <v>48</v>
      </c>
      <c r="L29" s="16" t="s">
        <v>46</v>
      </c>
      <c r="M29" s="16" t="s">
        <v>48</v>
      </c>
      <c r="N29" s="16" t="s">
        <v>48</v>
      </c>
      <c r="O29" s="16" t="s">
        <v>48</v>
      </c>
      <c r="P29" s="16" t="s">
        <v>47</v>
      </c>
      <c r="Q29" s="16" t="s">
        <v>45</v>
      </c>
      <c r="R29" s="16" t="s">
        <v>47</v>
      </c>
      <c r="S29" s="16" t="s">
        <v>46</v>
      </c>
      <c r="T29" s="16" t="s">
        <v>46</v>
      </c>
      <c r="U29" s="16" t="s">
        <v>47</v>
      </c>
      <c r="V29" s="7">
        <f t="shared" si="16"/>
        <v>0</v>
      </c>
      <c r="W29" s="7">
        <f t="shared" si="16"/>
        <v>0</v>
      </c>
      <c r="X29" s="7">
        <f t="shared" si="16"/>
        <v>0</v>
      </c>
      <c r="Y29" s="7">
        <f t="shared" si="16"/>
        <v>1</v>
      </c>
      <c r="Z29" s="7">
        <f t="shared" si="16"/>
        <v>0</v>
      </c>
      <c r="AA29" s="7">
        <f t="shared" si="16"/>
        <v>0</v>
      </c>
      <c r="AB29" s="7">
        <f t="shared" si="1"/>
        <v>0</v>
      </c>
      <c r="AC29" s="7">
        <f t="shared" si="2"/>
        <v>0</v>
      </c>
      <c r="AD29" s="7">
        <f t="shared" si="3"/>
        <v>0</v>
      </c>
      <c r="AE29" s="7">
        <f t="shared" si="4"/>
        <v>0</v>
      </c>
      <c r="AF29" s="7">
        <f t="shared" si="5"/>
        <v>0</v>
      </c>
      <c r="AG29" s="7">
        <f t="shared" si="6"/>
        <v>1</v>
      </c>
      <c r="AH29" s="7">
        <f t="shared" si="7"/>
        <v>0</v>
      </c>
      <c r="AI29" s="7">
        <f t="shared" si="8"/>
        <v>0</v>
      </c>
      <c r="AJ29" s="7">
        <f t="shared" si="9"/>
        <v>0</v>
      </c>
      <c r="AK29" s="7">
        <f t="shared" si="10"/>
        <v>0</v>
      </c>
      <c r="AL29" s="7">
        <f t="shared" si="11"/>
        <v>0</v>
      </c>
      <c r="AM29" s="7">
        <f t="shared" si="12"/>
        <v>0</v>
      </c>
      <c r="AN29" s="7">
        <f t="shared" si="13"/>
        <v>0</v>
      </c>
      <c r="AO29" s="7">
        <f t="shared" si="14"/>
        <v>0</v>
      </c>
      <c r="AP29" s="17">
        <f t="shared" si="15"/>
        <v>1.5</v>
      </c>
      <c r="AS29" s="56"/>
      <c r="AT29" t="s">
        <v>40</v>
      </c>
    </row>
    <row r="30" spans="1:46" ht="12.75" x14ac:dyDescent="0.2">
      <c r="A30" s="7" t="s">
        <v>104</v>
      </c>
      <c r="B30" s="16" t="s">
        <v>45</v>
      </c>
      <c r="C30" s="16" t="s">
        <v>46</v>
      </c>
      <c r="D30" s="16" t="s">
        <v>47</v>
      </c>
      <c r="E30" s="16" t="s">
        <v>48</v>
      </c>
      <c r="F30" s="16" t="s">
        <v>45</v>
      </c>
      <c r="G30" s="16" t="s">
        <v>47</v>
      </c>
      <c r="H30" s="16" t="s">
        <v>46</v>
      </c>
      <c r="I30" s="16" t="s">
        <v>48</v>
      </c>
      <c r="J30" s="16" t="s">
        <v>45</v>
      </c>
      <c r="K30" s="16" t="s">
        <v>46</v>
      </c>
      <c r="L30" s="16" t="s">
        <v>45</v>
      </c>
      <c r="M30" s="16" t="s">
        <v>48</v>
      </c>
      <c r="N30" s="16" t="s">
        <v>47</v>
      </c>
      <c r="O30" s="16" t="s">
        <v>48</v>
      </c>
      <c r="P30" s="16" t="s">
        <v>48</v>
      </c>
      <c r="Q30" s="16" t="s">
        <v>46</v>
      </c>
      <c r="R30" s="16" t="s">
        <v>48</v>
      </c>
      <c r="S30" s="16" t="s">
        <v>45</v>
      </c>
      <c r="T30" s="16" t="s">
        <v>46</v>
      </c>
      <c r="U30" s="16" t="s">
        <v>47</v>
      </c>
      <c r="V30" s="7">
        <f t="shared" si="16"/>
        <v>1</v>
      </c>
      <c r="W30" s="7">
        <f t="shared" si="16"/>
        <v>0</v>
      </c>
      <c r="X30" s="7">
        <f t="shared" si="16"/>
        <v>0</v>
      </c>
      <c r="Y30" s="7">
        <f t="shared" si="16"/>
        <v>0</v>
      </c>
      <c r="Z30" s="7">
        <f t="shared" si="16"/>
        <v>0</v>
      </c>
      <c r="AA30" s="7">
        <f t="shared" si="16"/>
        <v>0</v>
      </c>
      <c r="AB30" s="7">
        <f t="shared" si="1"/>
        <v>0</v>
      </c>
      <c r="AC30" s="7">
        <f t="shared" si="2"/>
        <v>0</v>
      </c>
      <c r="AD30" s="7">
        <f t="shared" si="3"/>
        <v>1</v>
      </c>
      <c r="AE30" s="7">
        <f t="shared" si="4"/>
        <v>0</v>
      </c>
      <c r="AF30" s="7">
        <f t="shared" si="5"/>
        <v>1</v>
      </c>
      <c r="AG30" s="7">
        <f t="shared" si="6"/>
        <v>1</v>
      </c>
      <c r="AH30" s="7">
        <f t="shared" si="7"/>
        <v>0</v>
      </c>
      <c r="AI30" s="7">
        <f t="shared" si="8"/>
        <v>0</v>
      </c>
      <c r="AJ30" s="7">
        <f t="shared" si="9"/>
        <v>1</v>
      </c>
      <c r="AK30" s="7">
        <f t="shared" si="10"/>
        <v>1</v>
      </c>
      <c r="AL30" s="7">
        <f t="shared" si="11"/>
        <v>0</v>
      </c>
      <c r="AM30" s="7">
        <f t="shared" si="12"/>
        <v>0</v>
      </c>
      <c r="AN30" s="7">
        <f t="shared" si="13"/>
        <v>0</v>
      </c>
      <c r="AO30" s="7">
        <f t="shared" si="14"/>
        <v>0</v>
      </c>
      <c r="AP30" s="17">
        <f t="shared" si="15"/>
        <v>2.5</v>
      </c>
      <c r="AS30" s="56"/>
      <c r="AT30" t="s">
        <v>40</v>
      </c>
    </row>
    <row r="31" spans="1:46" ht="12.75" x14ac:dyDescent="0.2">
      <c r="A31" s="7" t="s">
        <v>105</v>
      </c>
      <c r="B31" s="16" t="s">
        <v>45</v>
      </c>
      <c r="C31" s="16" t="s">
        <v>46</v>
      </c>
      <c r="D31" s="16" t="s">
        <v>47</v>
      </c>
      <c r="E31" s="16" t="s">
        <v>47</v>
      </c>
      <c r="F31" s="16" t="s">
        <v>45</v>
      </c>
      <c r="G31" s="16" t="s">
        <v>48</v>
      </c>
      <c r="H31" s="16" t="s">
        <v>46</v>
      </c>
      <c r="I31" s="16" t="s">
        <v>48</v>
      </c>
      <c r="J31" s="16" t="s">
        <v>47</v>
      </c>
      <c r="K31" s="16" t="s">
        <v>45</v>
      </c>
      <c r="L31" s="16" t="s">
        <v>48</v>
      </c>
      <c r="M31" s="16" t="s">
        <v>45</v>
      </c>
      <c r="N31" s="16" t="s">
        <v>45</v>
      </c>
      <c r="O31" s="16" t="s">
        <v>48</v>
      </c>
      <c r="P31" s="16" t="s">
        <v>45</v>
      </c>
      <c r="Q31" s="16" t="s">
        <v>46</v>
      </c>
      <c r="R31" s="16" t="s">
        <v>45</v>
      </c>
      <c r="S31" s="16" t="s">
        <v>46</v>
      </c>
      <c r="T31" s="16" t="s">
        <v>47</v>
      </c>
      <c r="U31" s="16" t="s">
        <v>45</v>
      </c>
      <c r="V31" s="7">
        <f t="shared" si="16"/>
        <v>1</v>
      </c>
      <c r="W31" s="7">
        <f t="shared" si="16"/>
        <v>0</v>
      </c>
      <c r="X31" s="7">
        <f t="shared" si="16"/>
        <v>0</v>
      </c>
      <c r="Y31" s="7">
        <f t="shared" si="16"/>
        <v>1</v>
      </c>
      <c r="Z31" s="7">
        <f t="shared" si="16"/>
        <v>0</v>
      </c>
      <c r="AA31" s="7">
        <f t="shared" si="16"/>
        <v>0</v>
      </c>
      <c r="AB31" s="7">
        <f t="shared" si="1"/>
        <v>0</v>
      </c>
      <c r="AC31" s="7">
        <f t="shared" si="2"/>
        <v>0</v>
      </c>
      <c r="AD31" s="7">
        <f t="shared" si="3"/>
        <v>0</v>
      </c>
      <c r="AE31" s="7">
        <f t="shared" si="4"/>
        <v>1</v>
      </c>
      <c r="AF31" s="7">
        <f t="shared" si="5"/>
        <v>0</v>
      </c>
      <c r="AG31" s="7">
        <f t="shared" si="6"/>
        <v>0</v>
      </c>
      <c r="AH31" s="7">
        <f t="shared" si="7"/>
        <v>1</v>
      </c>
      <c r="AI31" s="7">
        <f t="shared" si="8"/>
        <v>0</v>
      </c>
      <c r="AJ31" s="7">
        <f t="shared" si="9"/>
        <v>0</v>
      </c>
      <c r="AK31" s="7">
        <f t="shared" si="10"/>
        <v>1</v>
      </c>
      <c r="AL31" s="7">
        <f t="shared" si="11"/>
        <v>1</v>
      </c>
      <c r="AM31" s="7">
        <f t="shared" si="12"/>
        <v>0</v>
      </c>
      <c r="AN31" s="7">
        <f t="shared" si="13"/>
        <v>0</v>
      </c>
      <c r="AO31" s="7">
        <f t="shared" si="14"/>
        <v>0</v>
      </c>
      <c r="AP31" s="17">
        <f t="shared" si="15"/>
        <v>2.5</v>
      </c>
      <c r="AS31" s="56"/>
      <c r="AT31" t="s">
        <v>40</v>
      </c>
    </row>
    <row r="32" spans="1:46" ht="12.75" x14ac:dyDescent="0.2">
      <c r="A32" s="7" t="s">
        <v>106</v>
      </c>
      <c r="B32" s="16" t="s">
        <v>45</v>
      </c>
      <c r="C32" s="16" t="s">
        <v>48</v>
      </c>
      <c r="D32" s="16" t="s">
        <v>47</v>
      </c>
      <c r="E32" s="16" t="s">
        <v>47</v>
      </c>
      <c r="F32" s="16" t="s">
        <v>45</v>
      </c>
      <c r="G32" s="16" t="s">
        <v>45</v>
      </c>
      <c r="H32" s="16" t="s">
        <v>45</v>
      </c>
      <c r="I32" s="16" t="s">
        <v>48</v>
      </c>
      <c r="J32" s="16" t="s">
        <v>45</v>
      </c>
      <c r="K32" s="16" t="s">
        <v>47</v>
      </c>
      <c r="L32" s="16" t="s">
        <v>48</v>
      </c>
      <c r="M32" s="16" t="s">
        <v>46</v>
      </c>
      <c r="N32" s="16" t="s">
        <v>45</v>
      </c>
      <c r="O32" s="16" t="s">
        <v>48</v>
      </c>
      <c r="P32" s="16" t="s">
        <v>46</v>
      </c>
      <c r="Q32" s="16" t="s">
        <v>45</v>
      </c>
      <c r="R32" s="16" t="s">
        <v>47</v>
      </c>
      <c r="S32" s="16" t="s">
        <v>47</v>
      </c>
      <c r="T32" s="16" t="s">
        <v>45</v>
      </c>
      <c r="U32" s="16" t="s">
        <v>48</v>
      </c>
      <c r="V32" s="7">
        <f t="shared" si="16"/>
        <v>1</v>
      </c>
      <c r="W32" s="7">
        <f t="shared" si="16"/>
        <v>0</v>
      </c>
      <c r="X32" s="7">
        <f t="shared" si="16"/>
        <v>0</v>
      </c>
      <c r="Y32" s="7">
        <f t="shared" si="16"/>
        <v>1</v>
      </c>
      <c r="Z32" s="7">
        <f t="shared" si="16"/>
        <v>0</v>
      </c>
      <c r="AA32" s="7">
        <f t="shared" si="16"/>
        <v>1</v>
      </c>
      <c r="AB32" s="7">
        <f t="shared" si="1"/>
        <v>1</v>
      </c>
      <c r="AC32" s="7">
        <f t="shared" si="2"/>
        <v>0</v>
      </c>
      <c r="AD32" s="7">
        <f t="shared" si="3"/>
        <v>1</v>
      </c>
      <c r="AE32" s="7">
        <f t="shared" si="4"/>
        <v>0</v>
      </c>
      <c r="AF32" s="7">
        <f t="shared" si="5"/>
        <v>0</v>
      </c>
      <c r="AG32" s="7">
        <f t="shared" si="6"/>
        <v>0</v>
      </c>
      <c r="AH32" s="7">
        <f t="shared" si="7"/>
        <v>1</v>
      </c>
      <c r="AI32" s="7">
        <f t="shared" si="8"/>
        <v>0</v>
      </c>
      <c r="AJ32" s="7">
        <f t="shared" si="9"/>
        <v>0</v>
      </c>
      <c r="AK32" s="7">
        <f t="shared" si="10"/>
        <v>0</v>
      </c>
      <c r="AL32" s="7">
        <f t="shared" si="11"/>
        <v>0</v>
      </c>
      <c r="AM32" s="7">
        <f t="shared" si="12"/>
        <v>1</v>
      </c>
      <c r="AN32" s="7">
        <f t="shared" si="13"/>
        <v>0</v>
      </c>
      <c r="AO32" s="7">
        <f t="shared" si="14"/>
        <v>0</v>
      </c>
      <c r="AP32" s="17">
        <f t="shared" si="15"/>
        <v>2.75</v>
      </c>
      <c r="AS32" s="56"/>
      <c r="AT32" t="s">
        <v>40</v>
      </c>
    </row>
    <row r="33" spans="1:46" ht="12.75" x14ac:dyDescent="0.2">
      <c r="A33" s="7" t="s">
        <v>107</v>
      </c>
      <c r="B33" s="16" t="s">
        <v>47</v>
      </c>
      <c r="C33" s="16" t="s">
        <v>45</v>
      </c>
      <c r="D33" s="16" t="s">
        <v>47</v>
      </c>
      <c r="E33" s="16" t="s">
        <v>47</v>
      </c>
      <c r="F33" s="16" t="s">
        <v>47</v>
      </c>
      <c r="G33" s="16" t="s">
        <v>45</v>
      </c>
      <c r="H33" s="16" t="s">
        <v>48</v>
      </c>
      <c r="I33" s="16" t="s">
        <v>48</v>
      </c>
      <c r="J33" s="16" t="s">
        <v>45</v>
      </c>
      <c r="K33" s="16" t="s">
        <v>47</v>
      </c>
      <c r="L33" s="16" t="s">
        <v>48</v>
      </c>
      <c r="M33" s="16" t="s">
        <v>46</v>
      </c>
      <c r="N33" s="16" t="s">
        <v>48</v>
      </c>
      <c r="O33" s="16" t="s">
        <v>47</v>
      </c>
      <c r="P33" s="16" t="s">
        <v>47</v>
      </c>
      <c r="Q33" s="16" t="s">
        <v>45</v>
      </c>
      <c r="R33" s="16" t="s">
        <v>47</v>
      </c>
      <c r="S33" s="16" t="s">
        <v>47</v>
      </c>
      <c r="T33" s="16" t="s">
        <v>45</v>
      </c>
      <c r="U33" s="16" t="s">
        <v>47</v>
      </c>
      <c r="V33" s="7">
        <f t="shared" si="16"/>
        <v>0</v>
      </c>
      <c r="W33" s="7">
        <f t="shared" si="16"/>
        <v>1</v>
      </c>
      <c r="X33" s="7">
        <f t="shared" si="16"/>
        <v>0</v>
      </c>
      <c r="Y33" s="7">
        <f t="shared" si="16"/>
        <v>1</v>
      </c>
      <c r="Z33" s="7">
        <f t="shared" si="16"/>
        <v>1</v>
      </c>
      <c r="AA33" s="7">
        <f t="shared" si="16"/>
        <v>1</v>
      </c>
      <c r="AB33" s="7">
        <f t="shared" si="1"/>
        <v>0</v>
      </c>
      <c r="AC33" s="7">
        <f t="shared" si="2"/>
        <v>0</v>
      </c>
      <c r="AD33" s="7">
        <f t="shared" si="3"/>
        <v>1</v>
      </c>
      <c r="AE33" s="7">
        <f t="shared" si="4"/>
        <v>0</v>
      </c>
      <c r="AF33" s="7">
        <f t="shared" si="5"/>
        <v>0</v>
      </c>
      <c r="AG33" s="7">
        <f t="shared" si="6"/>
        <v>0</v>
      </c>
      <c r="AH33" s="7">
        <f t="shared" si="7"/>
        <v>0</v>
      </c>
      <c r="AI33" s="7">
        <f t="shared" si="8"/>
        <v>0</v>
      </c>
      <c r="AJ33" s="7">
        <f t="shared" si="9"/>
        <v>0</v>
      </c>
      <c r="AK33" s="7">
        <f t="shared" si="10"/>
        <v>0</v>
      </c>
      <c r="AL33" s="7">
        <f t="shared" si="11"/>
        <v>0</v>
      </c>
      <c r="AM33" s="7">
        <f t="shared" si="12"/>
        <v>1</v>
      </c>
      <c r="AN33" s="7">
        <f t="shared" si="13"/>
        <v>0</v>
      </c>
      <c r="AO33" s="7">
        <f t="shared" si="14"/>
        <v>0</v>
      </c>
      <c r="AP33" s="17">
        <f t="shared" si="15"/>
        <v>2.5</v>
      </c>
      <c r="AS33" s="56"/>
      <c r="AT33" t="s">
        <v>40</v>
      </c>
    </row>
    <row r="34" spans="1:46" ht="12.75" x14ac:dyDescent="0.2">
      <c r="A34" s="7" t="s">
        <v>108</v>
      </c>
      <c r="B34" s="16" t="s">
        <v>45</v>
      </c>
      <c r="C34" s="16" t="s">
        <v>47</v>
      </c>
      <c r="D34" s="16" t="s">
        <v>46</v>
      </c>
      <c r="E34" s="16" t="s">
        <v>45</v>
      </c>
      <c r="F34" s="16" t="s">
        <v>47</v>
      </c>
      <c r="G34" s="16" t="s">
        <v>47</v>
      </c>
      <c r="H34" s="16" t="s">
        <v>48</v>
      </c>
      <c r="I34" s="16" t="s">
        <v>48</v>
      </c>
      <c r="J34" s="16" t="s">
        <v>47</v>
      </c>
      <c r="K34" s="16" t="s">
        <v>46</v>
      </c>
      <c r="L34" s="16" t="s">
        <v>47</v>
      </c>
      <c r="M34" s="16" t="s">
        <v>48</v>
      </c>
      <c r="N34" s="16" t="s">
        <v>47</v>
      </c>
      <c r="O34" s="16" t="s">
        <v>48</v>
      </c>
      <c r="P34" s="16" t="s">
        <v>47</v>
      </c>
      <c r="Q34" s="16" t="s">
        <v>46</v>
      </c>
      <c r="R34" s="16" t="s">
        <v>45</v>
      </c>
      <c r="S34" s="16" t="s">
        <v>45</v>
      </c>
      <c r="T34" s="16" t="s">
        <v>45</v>
      </c>
      <c r="U34" s="16" t="s">
        <v>46</v>
      </c>
      <c r="V34" s="7">
        <f t="shared" si="16"/>
        <v>1</v>
      </c>
      <c r="W34" s="7">
        <f t="shared" si="16"/>
        <v>0</v>
      </c>
      <c r="X34" s="7">
        <f t="shared" si="16"/>
        <v>1</v>
      </c>
      <c r="Y34" s="7">
        <f t="shared" si="16"/>
        <v>0</v>
      </c>
      <c r="Z34" s="7">
        <f t="shared" si="16"/>
        <v>1</v>
      </c>
      <c r="AA34" s="7">
        <f t="shared" si="16"/>
        <v>0</v>
      </c>
      <c r="AB34" s="7">
        <f t="shared" si="1"/>
        <v>0</v>
      </c>
      <c r="AC34" s="7">
        <f t="shared" si="2"/>
        <v>0</v>
      </c>
      <c r="AD34" s="7">
        <f t="shared" si="3"/>
        <v>0</v>
      </c>
      <c r="AE34" s="7">
        <f t="shared" si="4"/>
        <v>0</v>
      </c>
      <c r="AF34" s="7">
        <f t="shared" si="5"/>
        <v>0</v>
      </c>
      <c r="AG34" s="7">
        <f t="shared" si="6"/>
        <v>1</v>
      </c>
      <c r="AH34" s="7">
        <f t="shared" si="7"/>
        <v>0</v>
      </c>
      <c r="AI34" s="7">
        <f t="shared" si="8"/>
        <v>0</v>
      </c>
      <c r="AJ34" s="7">
        <f t="shared" si="9"/>
        <v>0</v>
      </c>
      <c r="AK34" s="7">
        <f t="shared" si="10"/>
        <v>1</v>
      </c>
      <c r="AL34" s="7">
        <f t="shared" si="11"/>
        <v>1</v>
      </c>
      <c r="AM34" s="7">
        <f t="shared" si="12"/>
        <v>0</v>
      </c>
      <c r="AN34" s="7">
        <f t="shared" si="13"/>
        <v>0</v>
      </c>
      <c r="AO34" s="7">
        <f t="shared" si="14"/>
        <v>1</v>
      </c>
      <c r="AP34" s="17">
        <f t="shared" si="15"/>
        <v>2.75</v>
      </c>
      <c r="AS34" s="56"/>
      <c r="AT34" t="s">
        <v>40</v>
      </c>
    </row>
    <row r="35" spans="1:46" ht="13.5" thickBot="1" x14ac:dyDescent="0.25">
      <c r="A35" s="7" t="s">
        <v>143</v>
      </c>
      <c r="B35" s="16" t="s">
        <v>47</v>
      </c>
      <c r="C35" s="16" t="s">
        <v>46</v>
      </c>
      <c r="D35" s="16" t="s">
        <v>46</v>
      </c>
      <c r="E35" s="16" t="s">
        <v>48</v>
      </c>
      <c r="F35" s="16" t="s">
        <v>45</v>
      </c>
      <c r="G35" s="16" t="s">
        <v>47</v>
      </c>
      <c r="H35" s="16" t="s">
        <v>46</v>
      </c>
      <c r="I35" s="16" t="s">
        <v>46</v>
      </c>
      <c r="J35" s="16" t="s">
        <v>47</v>
      </c>
      <c r="K35" s="16" t="s">
        <v>45</v>
      </c>
      <c r="L35" s="16" t="s">
        <v>47</v>
      </c>
      <c r="M35" s="16" t="s">
        <v>48</v>
      </c>
      <c r="N35" s="16" t="s">
        <v>48</v>
      </c>
      <c r="O35" s="16" t="s">
        <v>47</v>
      </c>
      <c r="P35" s="16" t="s">
        <v>46</v>
      </c>
      <c r="Q35" s="16" t="s">
        <v>47</v>
      </c>
      <c r="R35" s="16" t="s">
        <v>46</v>
      </c>
      <c r="S35" s="16" t="s">
        <v>48</v>
      </c>
      <c r="T35" s="16" t="s">
        <v>46</v>
      </c>
      <c r="U35" s="16" t="s">
        <v>45</v>
      </c>
      <c r="V35" s="7">
        <f t="shared" si="16"/>
        <v>0</v>
      </c>
      <c r="W35" s="7">
        <f t="shared" si="16"/>
        <v>0</v>
      </c>
      <c r="X35" s="7">
        <f t="shared" si="16"/>
        <v>1</v>
      </c>
      <c r="Y35" s="7">
        <f t="shared" si="16"/>
        <v>0</v>
      </c>
      <c r="Z35" s="7">
        <f t="shared" si="16"/>
        <v>0</v>
      </c>
      <c r="AA35" s="7">
        <f t="shared" si="16"/>
        <v>0</v>
      </c>
      <c r="AB35" s="7">
        <f t="shared" si="1"/>
        <v>0</v>
      </c>
      <c r="AC35" s="7">
        <f t="shared" si="2"/>
        <v>0</v>
      </c>
      <c r="AD35" s="7">
        <f t="shared" si="3"/>
        <v>0</v>
      </c>
      <c r="AE35" s="7">
        <f t="shared" si="4"/>
        <v>1</v>
      </c>
      <c r="AF35" s="7">
        <f t="shared" si="5"/>
        <v>0</v>
      </c>
      <c r="AG35" s="7">
        <f t="shared" si="6"/>
        <v>1</v>
      </c>
      <c r="AH35" s="7">
        <f t="shared" si="7"/>
        <v>0</v>
      </c>
      <c r="AI35" s="7">
        <f t="shared" si="8"/>
        <v>0</v>
      </c>
      <c r="AJ35" s="7">
        <f t="shared" si="9"/>
        <v>0</v>
      </c>
      <c r="AK35" s="7">
        <f t="shared" si="10"/>
        <v>0</v>
      </c>
      <c r="AL35" s="7">
        <f t="shared" si="11"/>
        <v>0</v>
      </c>
      <c r="AM35" s="7">
        <f t="shared" si="12"/>
        <v>0</v>
      </c>
      <c r="AN35" s="7">
        <f t="shared" si="13"/>
        <v>0</v>
      </c>
      <c r="AO35" s="7">
        <f t="shared" si="14"/>
        <v>0</v>
      </c>
      <c r="AP35" s="17">
        <f t="shared" si="15"/>
        <v>1.75</v>
      </c>
      <c r="AS35" s="57"/>
      <c r="AT35" t="s">
        <v>40</v>
      </c>
    </row>
    <row r="36" spans="1:46" ht="15.75" customHeight="1" thickBot="1" x14ac:dyDescent="0.2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18">
        <f t="shared" ref="V36:AO36" si="17">SUM(V4:V35)</f>
        <v>19</v>
      </c>
      <c r="W36" s="18">
        <f t="shared" si="17"/>
        <v>6</v>
      </c>
      <c r="X36" s="18">
        <f t="shared" si="17"/>
        <v>10</v>
      </c>
      <c r="Y36" s="18">
        <f t="shared" si="17"/>
        <v>9</v>
      </c>
      <c r="Z36" s="18">
        <f t="shared" si="17"/>
        <v>15</v>
      </c>
      <c r="AA36" s="18">
        <f t="shared" si="17"/>
        <v>15</v>
      </c>
      <c r="AB36" s="18">
        <f t="shared" si="17"/>
        <v>5</v>
      </c>
      <c r="AC36" s="18">
        <f t="shared" si="17"/>
        <v>5</v>
      </c>
      <c r="AD36" s="18">
        <f t="shared" si="17"/>
        <v>13</v>
      </c>
      <c r="AE36" s="18">
        <f t="shared" si="17"/>
        <v>6</v>
      </c>
      <c r="AF36" s="18">
        <f t="shared" si="17"/>
        <v>7</v>
      </c>
      <c r="AG36" s="18">
        <f t="shared" si="17"/>
        <v>6</v>
      </c>
      <c r="AH36" s="18">
        <f t="shared" si="17"/>
        <v>9</v>
      </c>
      <c r="AI36" s="18">
        <f t="shared" si="17"/>
        <v>2</v>
      </c>
      <c r="AJ36" s="18">
        <f t="shared" si="17"/>
        <v>4</v>
      </c>
      <c r="AK36" s="18">
        <f t="shared" si="17"/>
        <v>7</v>
      </c>
      <c r="AL36" s="18">
        <f t="shared" si="17"/>
        <v>4</v>
      </c>
      <c r="AM36" s="18">
        <f t="shared" si="17"/>
        <v>15</v>
      </c>
      <c r="AN36" s="18">
        <f t="shared" si="17"/>
        <v>2</v>
      </c>
      <c r="AO36" s="18">
        <f t="shared" si="17"/>
        <v>5</v>
      </c>
      <c r="AP36" s="48">
        <f>AVERAGE(AP4:AP35)</f>
        <v>2.28125</v>
      </c>
      <c r="AQ36" s="53" t="s">
        <v>177</v>
      </c>
      <c r="AR36" s="54"/>
    </row>
    <row r="50" spans="23:23" ht="12.75" x14ac:dyDescent="0.2">
      <c r="W50" s="1"/>
    </row>
  </sheetData>
  <mergeCells count="3">
    <mergeCell ref="A36:U36"/>
    <mergeCell ref="AQ36:AR36"/>
    <mergeCell ref="AS24:AS35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7D13-649C-43C3-A06E-2706EBFF8C11}">
  <sheetPr>
    <outlinePr summaryBelow="0" summaryRight="0"/>
  </sheetPr>
  <dimension ref="A1:AT50"/>
  <sheetViews>
    <sheetView zoomScale="70" zoomScaleNormal="70" workbookViewId="0">
      <pane ySplit="3" topLeftCell="A4" activePane="bottomLeft" state="frozen"/>
      <selection pane="bottomLeft" activeCell="AR26" sqref="AR26"/>
    </sheetView>
  </sheetViews>
  <sheetFormatPr baseColWidth="10" defaultColWidth="12.5703125" defaultRowHeight="15.75" customHeight="1" x14ac:dyDescent="0.2"/>
  <cols>
    <col min="1" max="1" width="26.85546875" customWidth="1"/>
    <col min="2" max="21" width="3.5703125" customWidth="1"/>
    <col min="22" max="41" width="5.42578125" customWidth="1"/>
    <col min="42" max="42" width="8" bestFit="1" customWidth="1"/>
    <col min="43" max="43" width="9.28515625" bestFit="1" customWidth="1"/>
    <col min="45" max="45" width="10" customWidth="1"/>
  </cols>
  <sheetData>
    <row r="1" spans="1:46" ht="15.75" customHeight="1" x14ac:dyDescent="0.2">
      <c r="A1" s="47" t="s">
        <v>176</v>
      </c>
      <c r="B1" s="27">
        <v>3</v>
      </c>
      <c r="C1" s="27">
        <v>2</v>
      </c>
      <c r="D1" s="27">
        <v>2</v>
      </c>
      <c r="E1" s="27">
        <v>2</v>
      </c>
      <c r="F1" s="27">
        <v>2</v>
      </c>
      <c r="G1" s="27">
        <v>1</v>
      </c>
      <c r="H1" s="27">
        <v>1</v>
      </c>
      <c r="I1" s="27">
        <v>1</v>
      </c>
      <c r="J1" s="27">
        <v>1</v>
      </c>
      <c r="K1" s="27">
        <v>2</v>
      </c>
      <c r="L1" s="27">
        <v>3</v>
      </c>
      <c r="M1" s="27">
        <v>3</v>
      </c>
      <c r="N1" s="27">
        <v>2</v>
      </c>
      <c r="O1" s="27">
        <v>2</v>
      </c>
      <c r="P1" s="27">
        <v>1</v>
      </c>
      <c r="Q1" s="27">
        <v>1</v>
      </c>
      <c r="R1" s="27">
        <v>2</v>
      </c>
      <c r="S1" s="27">
        <v>1</v>
      </c>
      <c r="T1" s="27">
        <v>1</v>
      </c>
      <c r="U1" s="27">
        <v>1</v>
      </c>
    </row>
    <row r="2" spans="1:46" ht="15.75" customHeight="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 spans="1:46" ht="12.75" x14ac:dyDescent="0.2">
      <c r="A3" s="14" t="s">
        <v>41</v>
      </c>
      <c r="B3" s="5" t="s">
        <v>45</v>
      </c>
      <c r="C3" s="5" t="s">
        <v>45</v>
      </c>
      <c r="D3" s="5" t="s">
        <v>46</v>
      </c>
      <c r="E3" s="20" t="s">
        <v>47</v>
      </c>
      <c r="F3" s="5" t="s">
        <v>47</v>
      </c>
      <c r="G3" s="5" t="s">
        <v>45</v>
      </c>
      <c r="H3" s="5" t="s">
        <v>47</v>
      </c>
      <c r="I3" s="5" t="s">
        <v>45</v>
      </c>
      <c r="J3" s="5" t="s">
        <v>45</v>
      </c>
      <c r="K3" s="5" t="s">
        <v>45</v>
      </c>
      <c r="L3" s="5" t="s">
        <v>48</v>
      </c>
      <c r="M3" s="5" t="s">
        <v>45</v>
      </c>
      <c r="N3" s="20" t="s">
        <v>45</v>
      </c>
      <c r="O3" s="5" t="s">
        <v>48</v>
      </c>
      <c r="P3" s="5" t="s">
        <v>46</v>
      </c>
      <c r="Q3" s="5" t="s">
        <v>45</v>
      </c>
      <c r="R3" s="5" t="s">
        <v>47</v>
      </c>
      <c r="S3" s="5" t="s">
        <v>48</v>
      </c>
      <c r="T3" s="5" t="s">
        <v>46</v>
      </c>
      <c r="U3" s="19" t="s">
        <v>47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15" t="s">
        <v>15</v>
      </c>
      <c r="AQ3" s="4" t="s">
        <v>36</v>
      </c>
      <c r="AR3" s="5" t="s">
        <v>37</v>
      </c>
      <c r="AS3" s="6" t="s">
        <v>38</v>
      </c>
      <c r="AT3" t="s">
        <v>39</v>
      </c>
    </row>
    <row r="4" spans="1:46" ht="27.75" customHeight="1" x14ac:dyDescent="0.2">
      <c r="A4" s="7" t="s">
        <v>78</v>
      </c>
      <c r="B4" s="16" t="s">
        <v>47</v>
      </c>
      <c r="C4" s="16" t="s">
        <v>46</v>
      </c>
      <c r="D4" s="16" t="s">
        <v>48</v>
      </c>
      <c r="E4" s="16" t="s">
        <v>45</v>
      </c>
      <c r="F4" s="16" t="s">
        <v>45</v>
      </c>
      <c r="G4" s="16" t="s">
        <v>48</v>
      </c>
      <c r="H4" s="16" t="s">
        <v>46</v>
      </c>
      <c r="I4" s="16" t="s">
        <v>48</v>
      </c>
      <c r="J4" s="16" t="s">
        <v>48</v>
      </c>
      <c r="K4" s="16" t="s">
        <v>47</v>
      </c>
      <c r="L4" s="16" t="s">
        <v>46</v>
      </c>
      <c r="M4" s="16" t="s">
        <v>48</v>
      </c>
      <c r="N4" s="16" t="s">
        <v>46</v>
      </c>
      <c r="O4" s="16" t="s">
        <v>48</v>
      </c>
      <c r="P4" s="16" t="s">
        <v>46</v>
      </c>
      <c r="Q4" s="16" t="s">
        <v>45</v>
      </c>
      <c r="R4" s="16" t="s">
        <v>47</v>
      </c>
      <c r="S4" s="16" t="s">
        <v>46</v>
      </c>
      <c r="T4" s="16" t="s">
        <v>45</v>
      </c>
      <c r="U4" s="16" t="s">
        <v>46</v>
      </c>
      <c r="V4" s="7">
        <f t="shared" ref="V4:AA19" si="0">IF(B4=B$3,1,0)</f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ref="AB4:AO22" si="1">IF(H4=G$3,1,0)</f>
        <v>0</v>
      </c>
      <c r="AC4" s="7">
        <f t="shared" si="1"/>
        <v>0</v>
      </c>
      <c r="AD4" s="7">
        <f t="shared" si="1"/>
        <v>0</v>
      </c>
      <c r="AE4" s="7">
        <f t="shared" si="1"/>
        <v>0</v>
      </c>
      <c r="AF4" s="7">
        <f t="shared" si="1"/>
        <v>0</v>
      </c>
      <c r="AG4" s="7">
        <f t="shared" si="1"/>
        <v>1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1</v>
      </c>
      <c r="AP4" s="17">
        <f>IFERROR(SUM(V4:AO4)/COUNTA(B4:U4)*5+1,"")</f>
        <v>1.5</v>
      </c>
      <c r="AQ4" s="27" cm="1">
        <f t="array" ref="AQ4:AQ23">TRANSPOSE(B1:U1)</f>
        <v>3</v>
      </c>
      <c r="AR4" s="7" t="s">
        <v>16</v>
      </c>
      <c r="AS4" s="30" cm="1">
        <f t="array" ref="AS4:AS23">TRANSPOSE(V36:AO36)</f>
        <v>19</v>
      </c>
      <c r="AT4" t="s">
        <v>141</v>
      </c>
    </row>
    <row r="5" spans="1:46" ht="12.75" x14ac:dyDescent="0.2">
      <c r="A5" s="7" t="s">
        <v>79</v>
      </c>
      <c r="B5" s="16" t="s">
        <v>45</v>
      </c>
      <c r="C5" s="16" t="s">
        <v>48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48</v>
      </c>
      <c r="I5" s="16" t="s">
        <v>46</v>
      </c>
      <c r="J5" s="16" t="s">
        <v>45</v>
      </c>
      <c r="K5" s="16" t="s">
        <v>47</v>
      </c>
      <c r="L5" s="16" t="s">
        <v>47</v>
      </c>
      <c r="M5" s="16" t="s">
        <v>47</v>
      </c>
      <c r="N5" s="16" t="s">
        <v>45</v>
      </c>
      <c r="O5" s="16" t="s">
        <v>48</v>
      </c>
      <c r="P5" s="16" t="s">
        <v>46</v>
      </c>
      <c r="Q5" s="16" t="s">
        <v>45</v>
      </c>
      <c r="R5" s="16" t="s">
        <v>47</v>
      </c>
      <c r="S5" s="16" t="s">
        <v>46</v>
      </c>
      <c r="T5" s="16" t="s">
        <v>46</v>
      </c>
      <c r="U5" s="16" t="s">
        <v>48</v>
      </c>
      <c r="V5" s="7">
        <f t="shared" si="0"/>
        <v>1</v>
      </c>
      <c r="W5" s="7">
        <f t="shared" si="0"/>
        <v>0</v>
      </c>
      <c r="X5" s="7">
        <f t="shared" si="0"/>
        <v>0</v>
      </c>
      <c r="Y5" s="7">
        <f t="shared" si="0"/>
        <v>0</v>
      </c>
      <c r="Z5" s="7">
        <f t="shared" si="0"/>
        <v>1</v>
      </c>
      <c r="AA5" s="7">
        <f t="shared" si="0"/>
        <v>0</v>
      </c>
      <c r="AB5" s="7">
        <f t="shared" si="1"/>
        <v>0</v>
      </c>
      <c r="AC5" s="7">
        <f t="shared" si="1"/>
        <v>0</v>
      </c>
      <c r="AD5" s="7">
        <f t="shared" si="1"/>
        <v>1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1</v>
      </c>
      <c r="AI5" s="7">
        <f t="shared" si="1"/>
        <v>0</v>
      </c>
      <c r="AJ5" s="7">
        <f t="shared" si="1"/>
        <v>0</v>
      </c>
      <c r="AK5" s="7">
        <f t="shared" si="1"/>
        <v>0</v>
      </c>
      <c r="AL5" s="7">
        <f t="shared" si="1"/>
        <v>0</v>
      </c>
      <c r="AM5" s="7">
        <f t="shared" si="1"/>
        <v>0</v>
      </c>
      <c r="AN5" s="7">
        <f t="shared" si="1"/>
        <v>0</v>
      </c>
      <c r="AO5" s="7">
        <f t="shared" si="1"/>
        <v>0</v>
      </c>
      <c r="AP5" s="17">
        <f t="shared" ref="AP5:AP35" si="2">IFERROR(SUM(V5:AO5)/COUNTA(B5:U5)*5+1,"")</f>
        <v>2</v>
      </c>
      <c r="AQ5">
        <v>2</v>
      </c>
      <c r="AR5" s="7" t="s">
        <v>17</v>
      </c>
      <c r="AS5" s="30">
        <v>6</v>
      </c>
      <c r="AT5" t="s">
        <v>141</v>
      </c>
    </row>
    <row r="6" spans="1:46" ht="12.75" x14ac:dyDescent="0.2">
      <c r="A6" s="7" t="s">
        <v>80</v>
      </c>
      <c r="B6" s="16" t="s">
        <v>47</v>
      </c>
      <c r="C6" s="16" t="s">
        <v>46</v>
      </c>
      <c r="D6" s="16" t="s">
        <v>46</v>
      </c>
      <c r="E6" s="16" t="s">
        <v>48</v>
      </c>
      <c r="F6" s="16" t="s">
        <v>45</v>
      </c>
      <c r="G6" s="16" t="s">
        <v>47</v>
      </c>
      <c r="H6" s="16" t="s">
        <v>46</v>
      </c>
      <c r="I6" s="16" t="s">
        <v>46</v>
      </c>
      <c r="J6" s="16" t="s">
        <v>48</v>
      </c>
      <c r="K6" s="16" t="s">
        <v>46</v>
      </c>
      <c r="L6" s="16" t="s">
        <v>47</v>
      </c>
      <c r="M6" s="16" t="s">
        <v>46</v>
      </c>
      <c r="N6" s="16" t="s">
        <v>47</v>
      </c>
      <c r="O6" s="16" t="s">
        <v>47</v>
      </c>
      <c r="P6" s="16" t="s">
        <v>46</v>
      </c>
      <c r="Q6" s="16" t="s">
        <v>46</v>
      </c>
      <c r="R6" s="16" t="s">
        <v>47</v>
      </c>
      <c r="S6" s="16" t="s">
        <v>46</v>
      </c>
      <c r="T6" s="16" t="s">
        <v>46</v>
      </c>
      <c r="U6" s="16" t="s">
        <v>46</v>
      </c>
      <c r="V6" s="7">
        <f t="shared" si="0"/>
        <v>0</v>
      </c>
      <c r="W6" s="7">
        <f t="shared" si="0"/>
        <v>0</v>
      </c>
      <c r="X6" s="7">
        <f t="shared" si="0"/>
        <v>1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 t="shared" si="1"/>
        <v>0</v>
      </c>
      <c r="AH6" s="7">
        <f t="shared" si="1"/>
        <v>0</v>
      </c>
      <c r="AI6" s="7">
        <f t="shared" si="1"/>
        <v>0</v>
      </c>
      <c r="AJ6" s="7">
        <f t="shared" si="1"/>
        <v>0</v>
      </c>
      <c r="AK6" s="7">
        <f t="shared" si="1"/>
        <v>1</v>
      </c>
      <c r="AL6" s="7">
        <f t="shared" si="1"/>
        <v>0</v>
      </c>
      <c r="AM6" s="7">
        <f t="shared" si="1"/>
        <v>0</v>
      </c>
      <c r="AN6" s="7">
        <f t="shared" si="1"/>
        <v>0</v>
      </c>
      <c r="AO6" s="7">
        <f t="shared" si="1"/>
        <v>1</v>
      </c>
      <c r="AP6" s="17">
        <f t="shared" si="2"/>
        <v>1.75</v>
      </c>
      <c r="AQ6" s="28">
        <v>2</v>
      </c>
      <c r="AR6" s="29" t="s">
        <v>18</v>
      </c>
      <c r="AS6" s="30">
        <v>10</v>
      </c>
      <c r="AT6" t="s">
        <v>141</v>
      </c>
    </row>
    <row r="7" spans="1:46" ht="12.75" x14ac:dyDescent="0.2">
      <c r="A7" s="7" t="s">
        <v>81</v>
      </c>
      <c r="B7" s="16" t="s">
        <v>48</v>
      </c>
      <c r="C7" s="16" t="s">
        <v>46</v>
      </c>
      <c r="D7" s="16" t="s">
        <v>45</v>
      </c>
      <c r="E7" s="16" t="s">
        <v>46</v>
      </c>
      <c r="F7" s="16" t="s">
        <v>45</v>
      </c>
      <c r="G7" s="16" t="s">
        <v>47</v>
      </c>
      <c r="H7" s="16" t="s">
        <v>47</v>
      </c>
      <c r="I7" s="16" t="s">
        <v>48</v>
      </c>
      <c r="J7" s="16" t="s">
        <v>47</v>
      </c>
      <c r="K7" s="16" t="s">
        <v>47</v>
      </c>
      <c r="L7" s="16" t="s">
        <v>45</v>
      </c>
      <c r="M7" s="16" t="s">
        <v>47</v>
      </c>
      <c r="N7" s="16" t="s">
        <v>45</v>
      </c>
      <c r="O7" s="16" t="s">
        <v>48</v>
      </c>
      <c r="P7" s="16" t="s">
        <v>45</v>
      </c>
      <c r="Q7" s="16" t="s">
        <v>47</v>
      </c>
      <c r="R7" s="16" t="s">
        <v>47</v>
      </c>
      <c r="S7" s="16" t="s">
        <v>45</v>
      </c>
      <c r="T7" s="16" t="s">
        <v>46</v>
      </c>
      <c r="U7" s="16" t="s">
        <v>48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1"/>
        <v>0</v>
      </c>
      <c r="AC7" s="7">
        <f t="shared" si="1"/>
        <v>0</v>
      </c>
      <c r="AD7" s="7">
        <f t="shared" si="1"/>
        <v>0</v>
      </c>
      <c r="AE7" s="7">
        <f t="shared" si="1"/>
        <v>0</v>
      </c>
      <c r="AF7" s="7">
        <f t="shared" si="1"/>
        <v>1</v>
      </c>
      <c r="AG7" s="7">
        <f t="shared" si="1"/>
        <v>0</v>
      </c>
      <c r="AH7" s="7">
        <f t="shared" si="1"/>
        <v>1</v>
      </c>
      <c r="AI7" s="7">
        <f t="shared" si="1"/>
        <v>0</v>
      </c>
      <c r="AJ7" s="7">
        <f t="shared" si="1"/>
        <v>0</v>
      </c>
      <c r="AK7" s="7">
        <f t="shared" si="1"/>
        <v>0</v>
      </c>
      <c r="AL7" s="7">
        <f t="shared" si="1"/>
        <v>0</v>
      </c>
      <c r="AM7" s="7">
        <f t="shared" si="1"/>
        <v>0</v>
      </c>
      <c r="AN7" s="7">
        <f t="shared" si="1"/>
        <v>0</v>
      </c>
      <c r="AO7" s="7">
        <f t="shared" si="1"/>
        <v>0</v>
      </c>
      <c r="AP7" s="17">
        <f t="shared" si="2"/>
        <v>1.5</v>
      </c>
      <c r="AQ7" s="27">
        <v>2</v>
      </c>
      <c r="AR7" s="7" t="s">
        <v>19</v>
      </c>
      <c r="AS7" s="30">
        <v>9</v>
      </c>
      <c r="AT7" t="s">
        <v>141</v>
      </c>
    </row>
    <row r="8" spans="1:46" ht="12.75" x14ac:dyDescent="0.2">
      <c r="A8" s="7" t="s">
        <v>82</v>
      </c>
      <c r="B8" s="16" t="s">
        <v>45</v>
      </c>
      <c r="C8" s="16" t="s">
        <v>45</v>
      </c>
      <c r="D8" s="16" t="s">
        <v>48</v>
      </c>
      <c r="E8" s="16" t="s">
        <v>45</v>
      </c>
      <c r="F8" s="16" t="s">
        <v>45</v>
      </c>
      <c r="G8" s="16" t="s">
        <v>45</v>
      </c>
      <c r="H8" s="16" t="s">
        <v>47</v>
      </c>
      <c r="I8" s="16" t="s">
        <v>48</v>
      </c>
      <c r="J8" s="16" t="s">
        <v>47</v>
      </c>
      <c r="K8" s="16" t="s">
        <v>47</v>
      </c>
      <c r="L8" s="16" t="s">
        <v>47</v>
      </c>
      <c r="M8" s="16" t="s">
        <v>45</v>
      </c>
      <c r="N8" s="16" t="s">
        <v>47</v>
      </c>
      <c r="O8" s="16" t="s">
        <v>48</v>
      </c>
      <c r="P8" s="16" t="s">
        <v>46</v>
      </c>
      <c r="Q8" s="16" t="s">
        <v>45</v>
      </c>
      <c r="R8" s="16" t="s">
        <v>47</v>
      </c>
      <c r="S8" s="16" t="s">
        <v>47</v>
      </c>
      <c r="T8" s="16" t="s">
        <v>46</v>
      </c>
      <c r="U8" s="16" t="s">
        <v>48</v>
      </c>
      <c r="V8" s="7">
        <f t="shared" si="0"/>
        <v>1</v>
      </c>
      <c r="W8" s="7">
        <f t="shared" si="0"/>
        <v>1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1</v>
      </c>
      <c r="AB8" s="7">
        <f t="shared" si="1"/>
        <v>0</v>
      </c>
      <c r="AC8" s="7">
        <f t="shared" si="1"/>
        <v>0</v>
      </c>
      <c r="AD8" s="7">
        <f t="shared" si="1"/>
        <v>0</v>
      </c>
      <c r="AE8" s="7">
        <f t="shared" si="1"/>
        <v>0</v>
      </c>
      <c r="AF8" s="7">
        <f t="shared" si="1"/>
        <v>0</v>
      </c>
      <c r="AG8" s="7">
        <f t="shared" si="1"/>
        <v>0</v>
      </c>
      <c r="AH8" s="7">
        <f t="shared" si="1"/>
        <v>0</v>
      </c>
      <c r="AI8" s="7">
        <f t="shared" si="1"/>
        <v>0</v>
      </c>
      <c r="AJ8" s="7">
        <f t="shared" si="1"/>
        <v>0</v>
      </c>
      <c r="AK8" s="7">
        <f t="shared" si="1"/>
        <v>0</v>
      </c>
      <c r="AL8" s="7">
        <f t="shared" si="1"/>
        <v>0</v>
      </c>
      <c r="AM8" s="7">
        <f t="shared" si="1"/>
        <v>1</v>
      </c>
      <c r="AN8" s="7">
        <f t="shared" si="1"/>
        <v>0</v>
      </c>
      <c r="AO8" s="7">
        <f t="shared" si="1"/>
        <v>0</v>
      </c>
      <c r="AP8" s="17">
        <f t="shared" si="2"/>
        <v>2</v>
      </c>
      <c r="AQ8" s="27">
        <v>2</v>
      </c>
      <c r="AR8" s="7" t="s">
        <v>20</v>
      </c>
      <c r="AS8" s="30">
        <v>15</v>
      </c>
      <c r="AT8" t="s">
        <v>141</v>
      </c>
    </row>
    <row r="9" spans="1:46" ht="12.75" x14ac:dyDescent="0.2">
      <c r="A9" s="7" t="s">
        <v>83</v>
      </c>
      <c r="B9" s="16" t="s">
        <v>47</v>
      </c>
      <c r="C9" s="16" t="s">
        <v>48</v>
      </c>
      <c r="D9" s="16" t="s">
        <v>46</v>
      </c>
      <c r="E9" s="16" t="s">
        <v>45</v>
      </c>
      <c r="F9" s="16" t="s">
        <v>45</v>
      </c>
      <c r="G9" s="16" t="s">
        <v>45</v>
      </c>
      <c r="H9" s="16" t="s">
        <v>46</v>
      </c>
      <c r="I9" s="16" t="s">
        <v>48</v>
      </c>
      <c r="J9" s="16" t="s">
        <v>47</v>
      </c>
      <c r="K9" s="16" t="s">
        <v>47</v>
      </c>
      <c r="L9" s="16" t="s">
        <v>46</v>
      </c>
      <c r="M9" s="16" t="s">
        <v>45</v>
      </c>
      <c r="N9" s="16" t="s">
        <v>47</v>
      </c>
      <c r="O9" s="16" t="s">
        <v>48</v>
      </c>
      <c r="P9" s="16" t="s">
        <v>47</v>
      </c>
      <c r="Q9" s="16" t="s">
        <v>45</v>
      </c>
      <c r="R9" s="16" t="s">
        <v>47</v>
      </c>
      <c r="S9" s="16" t="s">
        <v>47</v>
      </c>
      <c r="T9" s="16" t="s">
        <v>46</v>
      </c>
      <c r="U9" s="16" t="s">
        <v>48</v>
      </c>
      <c r="V9" s="7">
        <f t="shared" si="0"/>
        <v>0</v>
      </c>
      <c r="W9" s="7">
        <f t="shared" si="0"/>
        <v>0</v>
      </c>
      <c r="X9" s="7">
        <f t="shared" si="0"/>
        <v>1</v>
      </c>
      <c r="Y9" s="7">
        <f t="shared" si="0"/>
        <v>0</v>
      </c>
      <c r="Z9" s="7">
        <f t="shared" si="0"/>
        <v>0</v>
      </c>
      <c r="AA9" s="7">
        <f t="shared" si="0"/>
        <v>1</v>
      </c>
      <c r="AB9" s="7">
        <f t="shared" si="1"/>
        <v>0</v>
      </c>
      <c r="AC9" s="7">
        <f t="shared" si="1"/>
        <v>0</v>
      </c>
      <c r="AD9" s="7">
        <f t="shared" si="1"/>
        <v>0</v>
      </c>
      <c r="AE9" s="7">
        <f t="shared" si="1"/>
        <v>0</v>
      </c>
      <c r="AF9" s="7">
        <f t="shared" si="1"/>
        <v>0</v>
      </c>
      <c r="AG9" s="7">
        <f t="shared" si="1"/>
        <v>0</v>
      </c>
      <c r="AH9" s="7">
        <f t="shared" si="1"/>
        <v>0</v>
      </c>
      <c r="AI9" s="7">
        <f t="shared" si="1"/>
        <v>0</v>
      </c>
      <c r="AJ9" s="7">
        <f t="shared" si="1"/>
        <v>0</v>
      </c>
      <c r="AK9" s="7">
        <f t="shared" si="1"/>
        <v>0</v>
      </c>
      <c r="AL9" s="7">
        <f t="shared" si="1"/>
        <v>0</v>
      </c>
      <c r="AM9" s="7">
        <f t="shared" si="1"/>
        <v>1</v>
      </c>
      <c r="AN9" s="7">
        <f t="shared" si="1"/>
        <v>0</v>
      </c>
      <c r="AO9" s="7">
        <f t="shared" si="1"/>
        <v>0</v>
      </c>
      <c r="AP9" s="17">
        <f t="shared" si="2"/>
        <v>1.75</v>
      </c>
      <c r="AQ9" s="27">
        <v>1</v>
      </c>
      <c r="AR9" s="7" t="s">
        <v>21</v>
      </c>
      <c r="AS9" s="30">
        <v>15</v>
      </c>
      <c r="AT9" t="s">
        <v>141</v>
      </c>
    </row>
    <row r="10" spans="1:46" ht="12.75" x14ac:dyDescent="0.2">
      <c r="A10" s="7" t="s">
        <v>84</v>
      </c>
      <c r="B10" s="16" t="s">
        <v>45</v>
      </c>
      <c r="C10" s="16" t="s">
        <v>47</v>
      </c>
      <c r="D10" s="16" t="s">
        <v>47</v>
      </c>
      <c r="E10" s="16" t="s">
        <v>48</v>
      </c>
      <c r="F10" s="16" t="s">
        <v>47</v>
      </c>
      <c r="G10" s="16" t="s">
        <v>47</v>
      </c>
      <c r="H10" s="16" t="s">
        <v>46</v>
      </c>
      <c r="I10" s="16" t="s">
        <v>48</v>
      </c>
      <c r="J10" s="16" t="s">
        <v>48</v>
      </c>
      <c r="K10" s="16" t="s">
        <v>45</v>
      </c>
      <c r="L10" s="16" t="s">
        <v>45</v>
      </c>
      <c r="M10" s="16" t="s">
        <v>45</v>
      </c>
      <c r="N10" s="16" t="s">
        <v>47</v>
      </c>
      <c r="O10" s="16" t="s">
        <v>48</v>
      </c>
      <c r="P10" s="16" t="s">
        <v>45</v>
      </c>
      <c r="Q10" s="16" t="s">
        <v>46</v>
      </c>
      <c r="R10" s="16" t="s">
        <v>45</v>
      </c>
      <c r="S10" s="16" t="s">
        <v>47</v>
      </c>
      <c r="T10" s="16" t="s">
        <v>46</v>
      </c>
      <c r="U10" s="16" t="s">
        <v>45</v>
      </c>
      <c r="V10" s="7">
        <f t="shared" si="0"/>
        <v>1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1</v>
      </c>
      <c r="AA10" s="7">
        <f t="shared" si="0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1</v>
      </c>
      <c r="AF10" s="7">
        <f t="shared" si="1"/>
        <v>1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1</v>
      </c>
      <c r="AL10" s="7">
        <f t="shared" si="1"/>
        <v>1</v>
      </c>
      <c r="AM10" s="7">
        <f t="shared" si="1"/>
        <v>1</v>
      </c>
      <c r="AN10" s="7">
        <f t="shared" si="1"/>
        <v>0</v>
      </c>
      <c r="AO10" s="7">
        <f t="shared" si="1"/>
        <v>0</v>
      </c>
      <c r="AP10" s="17">
        <f t="shared" si="2"/>
        <v>2.75</v>
      </c>
      <c r="AQ10" s="27">
        <v>1</v>
      </c>
      <c r="AR10" s="7" t="s">
        <v>22</v>
      </c>
      <c r="AS10" s="30">
        <v>5</v>
      </c>
      <c r="AT10" t="s">
        <v>141</v>
      </c>
    </row>
    <row r="11" spans="1:46" ht="12.75" x14ac:dyDescent="0.2">
      <c r="A11" s="7" t="s">
        <v>85</v>
      </c>
      <c r="B11" s="16" t="s">
        <v>45</v>
      </c>
      <c r="C11" s="16" t="s">
        <v>48</v>
      </c>
      <c r="D11" s="16" t="s">
        <v>47</v>
      </c>
      <c r="E11" s="16" t="s">
        <v>47</v>
      </c>
      <c r="F11" s="16" t="s">
        <v>45</v>
      </c>
      <c r="G11" s="16" t="s">
        <v>47</v>
      </c>
      <c r="H11" s="16" t="s">
        <v>46</v>
      </c>
      <c r="I11" s="16" t="s">
        <v>48</v>
      </c>
      <c r="J11" s="16" t="s">
        <v>47</v>
      </c>
      <c r="K11" s="16" t="s">
        <v>46</v>
      </c>
      <c r="L11" s="16" t="s">
        <v>48</v>
      </c>
      <c r="M11" s="16" t="s">
        <v>45</v>
      </c>
      <c r="N11" s="16" t="s">
        <v>48</v>
      </c>
      <c r="O11" s="16" t="s">
        <v>47</v>
      </c>
      <c r="P11" s="16" t="s">
        <v>46</v>
      </c>
      <c r="Q11" s="16" t="s">
        <v>47</v>
      </c>
      <c r="R11" s="16" t="s">
        <v>46</v>
      </c>
      <c r="S11" s="16" t="s">
        <v>45</v>
      </c>
      <c r="T11" s="16" t="s">
        <v>48</v>
      </c>
      <c r="U11" s="16" t="s">
        <v>45</v>
      </c>
      <c r="V11" s="7">
        <f t="shared" si="0"/>
        <v>1</v>
      </c>
      <c r="W11" s="7">
        <f t="shared" si="0"/>
        <v>0</v>
      </c>
      <c r="X11" s="7">
        <f t="shared" si="0"/>
        <v>0</v>
      </c>
      <c r="Y11" s="7">
        <f t="shared" si="0"/>
        <v>1</v>
      </c>
      <c r="Z11" s="7">
        <f t="shared" si="0"/>
        <v>0</v>
      </c>
      <c r="AA11" s="7">
        <f t="shared" si="0"/>
        <v>0</v>
      </c>
      <c r="AB11" s="7">
        <f t="shared" si="1"/>
        <v>0</v>
      </c>
      <c r="AC11" s="7">
        <f t="shared" si="1"/>
        <v>0</v>
      </c>
      <c r="AD11" s="7">
        <f t="shared" si="1"/>
        <v>0</v>
      </c>
      <c r="AE11" s="7">
        <f t="shared" si="1"/>
        <v>0</v>
      </c>
      <c r="AF11" s="7">
        <f t="shared" si="1"/>
        <v>0</v>
      </c>
      <c r="AG11" s="7">
        <f t="shared" si="1"/>
        <v>0</v>
      </c>
      <c r="AH11" s="7">
        <f t="shared" si="1"/>
        <v>0</v>
      </c>
      <c r="AI11" s="7">
        <f t="shared" si="1"/>
        <v>0</v>
      </c>
      <c r="AJ11" s="7">
        <f t="shared" si="1"/>
        <v>0</v>
      </c>
      <c r="AK11" s="7">
        <f t="shared" si="1"/>
        <v>0</v>
      </c>
      <c r="AL11" s="7">
        <f t="shared" si="1"/>
        <v>0</v>
      </c>
      <c r="AM11" s="7">
        <f t="shared" si="1"/>
        <v>0</v>
      </c>
      <c r="AN11" s="7">
        <f t="shared" si="1"/>
        <v>1</v>
      </c>
      <c r="AO11" s="7">
        <f t="shared" si="1"/>
        <v>0</v>
      </c>
      <c r="AP11" s="17">
        <f t="shared" si="2"/>
        <v>1.75</v>
      </c>
      <c r="AQ11" s="27">
        <v>1</v>
      </c>
      <c r="AR11" s="7" t="s">
        <v>23</v>
      </c>
      <c r="AS11" s="30">
        <v>5</v>
      </c>
      <c r="AT11" t="s">
        <v>141</v>
      </c>
    </row>
    <row r="12" spans="1:46" ht="12.75" x14ac:dyDescent="0.2">
      <c r="A12" s="7" t="s">
        <v>86</v>
      </c>
      <c r="B12" s="16" t="s">
        <v>47</v>
      </c>
      <c r="C12" s="16" t="s">
        <v>47</v>
      </c>
      <c r="D12" s="16" t="s">
        <v>46</v>
      </c>
      <c r="E12" s="16" t="s">
        <v>47</v>
      </c>
      <c r="F12" s="16" t="s">
        <v>47</v>
      </c>
      <c r="G12" s="16" t="s">
        <v>45</v>
      </c>
      <c r="H12" s="16" t="s">
        <v>48</v>
      </c>
      <c r="I12" s="16" t="s">
        <v>48</v>
      </c>
      <c r="J12" s="16" t="s">
        <v>48</v>
      </c>
      <c r="K12" s="16" t="s">
        <v>46</v>
      </c>
      <c r="L12" s="16" t="s">
        <v>48</v>
      </c>
      <c r="M12" s="16" t="s">
        <v>46</v>
      </c>
      <c r="N12" s="16" t="s">
        <v>45</v>
      </c>
      <c r="O12" s="16" t="s">
        <v>48</v>
      </c>
      <c r="P12" s="16" t="s">
        <v>46</v>
      </c>
      <c r="Q12" s="16" t="s">
        <v>45</v>
      </c>
      <c r="R12" s="16" t="s">
        <v>47</v>
      </c>
      <c r="S12" s="16" t="s">
        <v>47</v>
      </c>
      <c r="T12" s="16" t="s">
        <v>46</v>
      </c>
      <c r="U12" s="16" t="s">
        <v>47</v>
      </c>
      <c r="V12" s="7">
        <f t="shared" si="0"/>
        <v>0</v>
      </c>
      <c r="W12" s="7">
        <f t="shared" si="0"/>
        <v>0</v>
      </c>
      <c r="X12" s="7">
        <f t="shared" si="0"/>
        <v>1</v>
      </c>
      <c r="Y12" s="7">
        <f t="shared" si="0"/>
        <v>1</v>
      </c>
      <c r="Z12" s="7">
        <f t="shared" si="0"/>
        <v>1</v>
      </c>
      <c r="AA12" s="7">
        <f t="shared" si="0"/>
        <v>1</v>
      </c>
      <c r="AB12" s="7">
        <f t="shared" si="1"/>
        <v>0</v>
      </c>
      <c r="AC12" s="7">
        <f t="shared" si="1"/>
        <v>0</v>
      </c>
      <c r="AD12" s="7">
        <f t="shared" si="1"/>
        <v>0</v>
      </c>
      <c r="AE12" s="7">
        <f t="shared" si="1"/>
        <v>0</v>
      </c>
      <c r="AF12" s="7">
        <f t="shared" si="1"/>
        <v>0</v>
      </c>
      <c r="AG12" s="7">
        <f t="shared" si="1"/>
        <v>0</v>
      </c>
      <c r="AH12" s="7">
        <f t="shared" si="1"/>
        <v>1</v>
      </c>
      <c r="AI12" s="7">
        <f t="shared" si="1"/>
        <v>0</v>
      </c>
      <c r="AJ12" s="7">
        <f t="shared" si="1"/>
        <v>0</v>
      </c>
      <c r="AK12" s="7">
        <f t="shared" si="1"/>
        <v>0</v>
      </c>
      <c r="AL12" s="7">
        <f t="shared" si="1"/>
        <v>0</v>
      </c>
      <c r="AM12" s="7">
        <f t="shared" si="1"/>
        <v>1</v>
      </c>
      <c r="AN12" s="7">
        <f t="shared" si="1"/>
        <v>0</v>
      </c>
      <c r="AO12" s="7">
        <f t="shared" si="1"/>
        <v>0</v>
      </c>
      <c r="AP12" s="17">
        <f t="shared" si="2"/>
        <v>2.5</v>
      </c>
      <c r="AQ12" s="27">
        <v>1</v>
      </c>
      <c r="AR12" s="7" t="s">
        <v>24</v>
      </c>
      <c r="AS12" s="30">
        <v>13</v>
      </c>
      <c r="AT12" t="s">
        <v>141</v>
      </c>
    </row>
    <row r="13" spans="1:46" ht="12.75" x14ac:dyDescent="0.2">
      <c r="A13" s="7" t="s">
        <v>87</v>
      </c>
      <c r="B13" s="16" t="s">
        <v>45</v>
      </c>
      <c r="C13" s="16" t="s">
        <v>45</v>
      </c>
      <c r="D13" s="16" t="s">
        <v>47</v>
      </c>
      <c r="E13" s="16" t="s">
        <v>46</v>
      </c>
      <c r="F13" s="16" t="s">
        <v>47</v>
      </c>
      <c r="G13" s="16" t="s">
        <v>45</v>
      </c>
      <c r="H13" s="16" t="s">
        <v>46</v>
      </c>
      <c r="I13" s="16" t="s">
        <v>47</v>
      </c>
      <c r="J13" s="16" t="s">
        <v>45</v>
      </c>
      <c r="K13" s="16" t="s">
        <v>48</v>
      </c>
      <c r="L13" s="16" t="s">
        <v>47</v>
      </c>
      <c r="M13" s="16" t="s">
        <v>47</v>
      </c>
      <c r="N13" s="16" t="s">
        <v>46</v>
      </c>
      <c r="O13" s="16" t="s">
        <v>47</v>
      </c>
      <c r="P13" s="16" t="s">
        <v>45</v>
      </c>
      <c r="Q13" s="16" t="s">
        <v>47</v>
      </c>
      <c r="R13" s="16" t="s">
        <v>47</v>
      </c>
      <c r="S13" s="16" t="s">
        <v>45</v>
      </c>
      <c r="T13" s="16" t="s">
        <v>46</v>
      </c>
      <c r="U13" s="16" t="s">
        <v>48</v>
      </c>
      <c r="V13" s="7">
        <f t="shared" si="0"/>
        <v>1</v>
      </c>
      <c r="W13" s="7">
        <f t="shared" si="0"/>
        <v>1</v>
      </c>
      <c r="X13" s="7">
        <f t="shared" si="0"/>
        <v>0</v>
      </c>
      <c r="Y13" s="7">
        <f t="shared" si="0"/>
        <v>0</v>
      </c>
      <c r="Z13" s="7">
        <f t="shared" si="0"/>
        <v>1</v>
      </c>
      <c r="AA13" s="7">
        <f t="shared" si="0"/>
        <v>1</v>
      </c>
      <c r="AB13" s="7">
        <f t="shared" si="1"/>
        <v>0</v>
      </c>
      <c r="AC13" s="7">
        <f t="shared" si="1"/>
        <v>1</v>
      </c>
      <c r="AD13" s="7">
        <f t="shared" si="1"/>
        <v>1</v>
      </c>
      <c r="AE13" s="7">
        <f t="shared" si="1"/>
        <v>0</v>
      </c>
      <c r="AF13" s="7">
        <f t="shared" si="1"/>
        <v>0</v>
      </c>
      <c r="AG13" s="7">
        <f t="shared" si="1"/>
        <v>0</v>
      </c>
      <c r="AH13" s="7">
        <f t="shared" si="1"/>
        <v>0</v>
      </c>
      <c r="AI13" s="7">
        <f t="shared" si="1"/>
        <v>0</v>
      </c>
      <c r="AJ13" s="7">
        <f t="shared" si="1"/>
        <v>0</v>
      </c>
      <c r="AK13" s="7">
        <f t="shared" si="1"/>
        <v>0</v>
      </c>
      <c r="AL13" s="7">
        <f t="shared" si="1"/>
        <v>0</v>
      </c>
      <c r="AM13" s="7">
        <f t="shared" si="1"/>
        <v>0</v>
      </c>
      <c r="AN13" s="7">
        <f t="shared" si="1"/>
        <v>0</v>
      </c>
      <c r="AO13" s="7">
        <f t="shared" si="1"/>
        <v>0</v>
      </c>
      <c r="AP13" s="17">
        <f t="shared" si="2"/>
        <v>2.5</v>
      </c>
      <c r="AQ13" s="27">
        <v>2</v>
      </c>
      <c r="AR13" s="7" t="s">
        <v>25</v>
      </c>
      <c r="AS13" s="30">
        <v>6</v>
      </c>
      <c r="AT13" t="s">
        <v>141</v>
      </c>
    </row>
    <row r="14" spans="1:46" ht="12.75" x14ac:dyDescent="0.2">
      <c r="A14" s="7" t="s">
        <v>88</v>
      </c>
      <c r="B14" s="16" t="s">
        <v>45</v>
      </c>
      <c r="C14" s="16" t="s">
        <v>47</v>
      </c>
      <c r="D14" s="16" t="s">
        <v>47</v>
      </c>
      <c r="E14" s="16" t="s">
        <v>48</v>
      </c>
      <c r="F14" s="16" t="s">
        <v>47</v>
      </c>
      <c r="G14" s="16" t="s">
        <v>47</v>
      </c>
      <c r="H14" s="16" t="s">
        <v>46</v>
      </c>
      <c r="I14" s="16" t="s">
        <v>48</v>
      </c>
      <c r="J14" s="16" t="s">
        <v>48</v>
      </c>
      <c r="K14" s="16" t="s">
        <v>45</v>
      </c>
      <c r="L14" s="16" t="s">
        <v>45</v>
      </c>
      <c r="M14" s="16" t="s">
        <v>45</v>
      </c>
      <c r="N14" s="16" t="s">
        <v>45</v>
      </c>
      <c r="O14" s="16" t="s">
        <v>48</v>
      </c>
      <c r="P14" s="16" t="s">
        <v>47</v>
      </c>
      <c r="Q14" s="16" t="s">
        <v>47</v>
      </c>
      <c r="R14" s="16" t="s">
        <v>47</v>
      </c>
      <c r="S14" s="16" t="s">
        <v>45</v>
      </c>
      <c r="T14" s="16" t="s">
        <v>46</v>
      </c>
      <c r="U14" s="16" t="s">
        <v>48</v>
      </c>
      <c r="V14" s="7">
        <f t="shared" si="0"/>
        <v>1</v>
      </c>
      <c r="W14" s="7">
        <f t="shared" si="0"/>
        <v>0</v>
      </c>
      <c r="X14" s="7">
        <f t="shared" si="0"/>
        <v>0</v>
      </c>
      <c r="Y14" s="7">
        <f t="shared" si="0"/>
        <v>0</v>
      </c>
      <c r="Z14" s="7">
        <f t="shared" si="0"/>
        <v>1</v>
      </c>
      <c r="AA14" s="7">
        <f t="shared" si="0"/>
        <v>0</v>
      </c>
      <c r="AB14" s="7">
        <f t="shared" si="1"/>
        <v>0</v>
      </c>
      <c r="AC14" s="7">
        <f t="shared" si="1"/>
        <v>0</v>
      </c>
      <c r="AD14" s="7">
        <f t="shared" si="1"/>
        <v>0</v>
      </c>
      <c r="AE14" s="7">
        <f t="shared" si="1"/>
        <v>1</v>
      </c>
      <c r="AF14" s="7">
        <f t="shared" si="1"/>
        <v>1</v>
      </c>
      <c r="AG14" s="7">
        <f t="shared" si="1"/>
        <v>0</v>
      </c>
      <c r="AH14" s="7">
        <f t="shared" si="1"/>
        <v>1</v>
      </c>
      <c r="AI14" s="7">
        <f t="shared" si="1"/>
        <v>0</v>
      </c>
      <c r="AJ14" s="7">
        <f t="shared" si="1"/>
        <v>0</v>
      </c>
      <c r="AK14" s="7">
        <f t="shared" si="1"/>
        <v>0</v>
      </c>
      <c r="AL14" s="7">
        <f t="shared" si="1"/>
        <v>0</v>
      </c>
      <c r="AM14" s="7">
        <f t="shared" si="1"/>
        <v>0</v>
      </c>
      <c r="AN14" s="7">
        <f t="shared" si="1"/>
        <v>0</v>
      </c>
      <c r="AO14" s="7">
        <f t="shared" si="1"/>
        <v>0</v>
      </c>
      <c r="AP14" s="17">
        <f t="shared" si="2"/>
        <v>2.25</v>
      </c>
      <c r="AQ14" s="27">
        <v>3</v>
      </c>
      <c r="AR14" s="7" t="s">
        <v>26</v>
      </c>
      <c r="AS14" s="30">
        <v>7</v>
      </c>
      <c r="AT14" t="s">
        <v>141</v>
      </c>
    </row>
    <row r="15" spans="1:46" ht="12.75" x14ac:dyDescent="0.2">
      <c r="A15" s="7" t="s">
        <v>89</v>
      </c>
      <c r="B15" s="16" t="s">
        <v>45</v>
      </c>
      <c r="C15" s="16" t="s">
        <v>48</v>
      </c>
      <c r="D15" s="16" t="s">
        <v>47</v>
      </c>
      <c r="E15" s="16" t="s">
        <v>48</v>
      </c>
      <c r="F15" s="16" t="s">
        <v>47</v>
      </c>
      <c r="G15" s="16" t="s">
        <v>45</v>
      </c>
      <c r="H15" s="16" t="s">
        <v>46</v>
      </c>
      <c r="I15" s="16" t="s">
        <v>48</v>
      </c>
      <c r="J15" s="16" t="s">
        <v>47</v>
      </c>
      <c r="K15" s="16" t="s">
        <v>46</v>
      </c>
      <c r="L15" s="16" t="s">
        <v>45</v>
      </c>
      <c r="M15" s="16" t="s">
        <v>47</v>
      </c>
      <c r="N15" s="16" t="s">
        <v>46</v>
      </c>
      <c r="O15" s="16" t="s">
        <v>45</v>
      </c>
      <c r="P15" s="16" t="s">
        <v>46</v>
      </c>
      <c r="Q15" s="16" t="s">
        <v>47</v>
      </c>
      <c r="R15" s="16" t="s">
        <v>46</v>
      </c>
      <c r="S15" s="16" t="s">
        <v>47</v>
      </c>
      <c r="T15" s="16" t="s">
        <v>48</v>
      </c>
      <c r="U15" s="16" t="s">
        <v>45</v>
      </c>
      <c r="V15" s="7">
        <f t="shared" si="0"/>
        <v>1</v>
      </c>
      <c r="W15" s="7">
        <f t="shared" si="0"/>
        <v>0</v>
      </c>
      <c r="X15" s="7">
        <f t="shared" si="0"/>
        <v>0</v>
      </c>
      <c r="Y15" s="7">
        <f t="shared" si="0"/>
        <v>0</v>
      </c>
      <c r="Z15" s="7">
        <f t="shared" si="0"/>
        <v>1</v>
      </c>
      <c r="AA15" s="7">
        <f t="shared" si="0"/>
        <v>1</v>
      </c>
      <c r="AB15" s="7">
        <f t="shared" si="1"/>
        <v>0</v>
      </c>
      <c r="AC15" s="7">
        <f t="shared" si="1"/>
        <v>0</v>
      </c>
      <c r="AD15" s="7">
        <f t="shared" si="1"/>
        <v>0</v>
      </c>
      <c r="AE15" s="7">
        <f t="shared" si="1"/>
        <v>0</v>
      </c>
      <c r="AF15" s="7">
        <f t="shared" si="1"/>
        <v>1</v>
      </c>
      <c r="AG15" s="7">
        <f t="shared" si="1"/>
        <v>0</v>
      </c>
      <c r="AH15" s="7">
        <f t="shared" si="1"/>
        <v>0</v>
      </c>
      <c r="AI15" s="7">
        <f t="shared" si="1"/>
        <v>1</v>
      </c>
      <c r="AJ15" s="7">
        <f t="shared" si="1"/>
        <v>0</v>
      </c>
      <c r="AK15" s="7">
        <f t="shared" si="1"/>
        <v>0</v>
      </c>
      <c r="AL15" s="7">
        <f t="shared" si="1"/>
        <v>0</v>
      </c>
      <c r="AM15" s="7">
        <f t="shared" si="1"/>
        <v>1</v>
      </c>
      <c r="AN15" s="7">
        <f t="shared" si="1"/>
        <v>1</v>
      </c>
      <c r="AO15" s="7">
        <f t="shared" si="1"/>
        <v>0</v>
      </c>
      <c r="AP15" s="17">
        <f t="shared" si="2"/>
        <v>2.75</v>
      </c>
      <c r="AQ15" s="27">
        <v>3</v>
      </c>
      <c r="AR15" s="7" t="s">
        <v>27</v>
      </c>
      <c r="AS15" s="30">
        <v>6</v>
      </c>
      <c r="AT15" t="s">
        <v>141</v>
      </c>
    </row>
    <row r="16" spans="1:46" ht="12.75" x14ac:dyDescent="0.2">
      <c r="A16" s="7" t="s">
        <v>90</v>
      </c>
      <c r="B16" s="16" t="s">
        <v>46</v>
      </c>
      <c r="C16" s="16" t="s">
        <v>45</v>
      </c>
      <c r="D16" s="16" t="s">
        <v>47</v>
      </c>
      <c r="E16" s="16" t="s">
        <v>46</v>
      </c>
      <c r="F16" s="16" t="s">
        <v>45</v>
      </c>
      <c r="G16" s="16" t="s">
        <v>46</v>
      </c>
      <c r="H16" s="16" t="s">
        <v>45</v>
      </c>
      <c r="I16" s="16" t="s">
        <v>46</v>
      </c>
      <c r="J16" s="16" t="s">
        <v>45</v>
      </c>
      <c r="K16" s="16" t="s">
        <v>46</v>
      </c>
      <c r="L16" s="16" t="s">
        <v>47</v>
      </c>
      <c r="M16" s="16" t="s">
        <v>45</v>
      </c>
      <c r="N16" s="16" t="s">
        <v>48</v>
      </c>
      <c r="O16" s="16" t="s">
        <v>46</v>
      </c>
      <c r="P16" s="16" t="s">
        <v>45</v>
      </c>
      <c r="Q16" s="16" t="s">
        <v>47</v>
      </c>
      <c r="R16" s="16" t="s">
        <v>46</v>
      </c>
      <c r="S16" s="16" t="s">
        <v>48</v>
      </c>
      <c r="T16" s="16" t="s">
        <v>45</v>
      </c>
      <c r="U16" s="16" t="s">
        <v>46</v>
      </c>
      <c r="V16" s="7">
        <f t="shared" si="0"/>
        <v>0</v>
      </c>
      <c r="W16" s="7">
        <f t="shared" si="0"/>
        <v>1</v>
      </c>
      <c r="X16" s="7">
        <f t="shared" si="0"/>
        <v>0</v>
      </c>
      <c r="Y16" s="7">
        <f t="shared" si="0"/>
        <v>0</v>
      </c>
      <c r="Z16" s="7">
        <f t="shared" si="0"/>
        <v>0</v>
      </c>
      <c r="AA16" s="7">
        <f t="shared" si="0"/>
        <v>0</v>
      </c>
      <c r="AB16" s="7">
        <f t="shared" si="1"/>
        <v>1</v>
      </c>
      <c r="AC16" s="7">
        <f t="shared" si="1"/>
        <v>0</v>
      </c>
      <c r="AD16" s="7">
        <f t="shared" si="1"/>
        <v>1</v>
      </c>
      <c r="AE16" s="7">
        <f t="shared" si="1"/>
        <v>0</v>
      </c>
      <c r="AF16" s="7">
        <f t="shared" si="1"/>
        <v>0</v>
      </c>
      <c r="AG16" s="7">
        <f t="shared" si="1"/>
        <v>0</v>
      </c>
      <c r="AH16" s="7">
        <f t="shared" si="1"/>
        <v>0</v>
      </c>
      <c r="AI16" s="7">
        <f t="shared" si="1"/>
        <v>0</v>
      </c>
      <c r="AJ16" s="7">
        <f t="shared" si="1"/>
        <v>0</v>
      </c>
      <c r="AK16" s="7">
        <f t="shared" si="1"/>
        <v>0</v>
      </c>
      <c r="AL16" s="7">
        <f t="shared" si="1"/>
        <v>0</v>
      </c>
      <c r="AM16" s="7">
        <f t="shared" si="1"/>
        <v>0</v>
      </c>
      <c r="AN16" s="7">
        <f t="shared" si="1"/>
        <v>0</v>
      </c>
      <c r="AO16" s="7">
        <f t="shared" si="1"/>
        <v>1</v>
      </c>
      <c r="AP16" s="17">
        <f t="shared" si="2"/>
        <v>2</v>
      </c>
      <c r="AQ16" s="27">
        <v>2</v>
      </c>
      <c r="AR16" s="7" t="s">
        <v>28</v>
      </c>
      <c r="AS16" s="30">
        <v>9</v>
      </c>
      <c r="AT16" t="s">
        <v>141</v>
      </c>
    </row>
    <row r="17" spans="1:46" ht="12.75" x14ac:dyDescent="0.2">
      <c r="A17" s="7" t="s">
        <v>91</v>
      </c>
      <c r="B17" s="16" t="s">
        <v>45</v>
      </c>
      <c r="C17" s="16" t="s">
        <v>45</v>
      </c>
      <c r="D17" s="16" t="s">
        <v>48</v>
      </c>
      <c r="E17" s="16" t="s">
        <v>45</v>
      </c>
      <c r="F17" s="16" t="s">
        <v>47</v>
      </c>
      <c r="G17" s="16" t="s">
        <v>45</v>
      </c>
      <c r="H17" s="16" t="s">
        <v>48</v>
      </c>
      <c r="I17" s="16" t="s">
        <v>48</v>
      </c>
      <c r="J17" s="16" t="s">
        <v>45</v>
      </c>
      <c r="K17" s="16" t="s">
        <v>47</v>
      </c>
      <c r="L17" s="16" t="s">
        <v>47</v>
      </c>
      <c r="M17" s="16" t="s">
        <v>45</v>
      </c>
      <c r="N17" s="16" t="s">
        <v>45</v>
      </c>
      <c r="O17" s="16" t="s">
        <v>48</v>
      </c>
      <c r="P17" s="16" t="s">
        <v>46</v>
      </c>
      <c r="Q17" s="16" t="s">
        <v>46</v>
      </c>
      <c r="R17" s="16" t="s">
        <v>47</v>
      </c>
      <c r="S17" s="16" t="s">
        <v>47</v>
      </c>
      <c r="T17" s="16" t="s">
        <v>45</v>
      </c>
      <c r="U17" s="16" t="s">
        <v>48</v>
      </c>
      <c r="V17" s="7">
        <f t="shared" si="0"/>
        <v>1</v>
      </c>
      <c r="W17" s="7">
        <f t="shared" si="0"/>
        <v>1</v>
      </c>
      <c r="X17" s="7">
        <f t="shared" si="0"/>
        <v>0</v>
      </c>
      <c r="Y17" s="7">
        <f t="shared" si="0"/>
        <v>0</v>
      </c>
      <c r="Z17" s="7">
        <f t="shared" si="0"/>
        <v>1</v>
      </c>
      <c r="AA17" s="7">
        <f t="shared" si="0"/>
        <v>1</v>
      </c>
      <c r="AB17" s="7">
        <f t="shared" si="1"/>
        <v>0</v>
      </c>
      <c r="AC17" s="7">
        <f t="shared" si="1"/>
        <v>0</v>
      </c>
      <c r="AD17" s="7">
        <f t="shared" si="1"/>
        <v>1</v>
      </c>
      <c r="AE17" s="7">
        <f t="shared" si="1"/>
        <v>0</v>
      </c>
      <c r="AF17" s="7">
        <f t="shared" si="1"/>
        <v>0</v>
      </c>
      <c r="AG17" s="7">
        <f t="shared" si="1"/>
        <v>0</v>
      </c>
      <c r="AH17" s="7">
        <f t="shared" si="1"/>
        <v>1</v>
      </c>
      <c r="AI17" s="7">
        <f t="shared" si="1"/>
        <v>0</v>
      </c>
      <c r="AJ17" s="7">
        <f t="shared" si="1"/>
        <v>0</v>
      </c>
      <c r="AK17" s="7">
        <f t="shared" si="1"/>
        <v>1</v>
      </c>
      <c r="AL17" s="7">
        <f t="shared" si="1"/>
        <v>0</v>
      </c>
      <c r="AM17" s="7">
        <f t="shared" si="1"/>
        <v>1</v>
      </c>
      <c r="AN17" s="7">
        <f t="shared" si="1"/>
        <v>0</v>
      </c>
      <c r="AO17" s="7">
        <f t="shared" si="1"/>
        <v>0</v>
      </c>
      <c r="AP17" s="17">
        <f t="shared" si="2"/>
        <v>3</v>
      </c>
      <c r="AQ17" s="27">
        <v>2</v>
      </c>
      <c r="AR17" s="7" t="s">
        <v>29</v>
      </c>
      <c r="AS17" s="30">
        <v>2</v>
      </c>
      <c r="AT17" t="s">
        <v>141</v>
      </c>
    </row>
    <row r="18" spans="1:46" ht="12.75" x14ac:dyDescent="0.2">
      <c r="A18" s="7" t="s">
        <v>92</v>
      </c>
      <c r="B18" s="16" t="s">
        <v>46</v>
      </c>
      <c r="C18" s="16" t="s">
        <v>48</v>
      </c>
      <c r="D18" s="16" t="s">
        <v>47</v>
      </c>
      <c r="E18" s="16" t="s">
        <v>45</v>
      </c>
      <c r="F18" s="16" t="s">
        <v>48</v>
      </c>
      <c r="G18" s="16" t="s">
        <v>47</v>
      </c>
      <c r="H18" s="16" t="s">
        <v>46</v>
      </c>
      <c r="I18" s="16" t="s">
        <v>48</v>
      </c>
      <c r="J18" s="16" t="s">
        <v>45</v>
      </c>
      <c r="K18" s="16" t="s">
        <v>45</v>
      </c>
      <c r="L18" s="16" t="s">
        <v>48</v>
      </c>
      <c r="M18" s="16" t="s">
        <v>46</v>
      </c>
      <c r="N18" s="16" t="s">
        <v>48</v>
      </c>
      <c r="O18" s="16" t="s">
        <v>46</v>
      </c>
      <c r="P18" s="16" t="s">
        <v>47</v>
      </c>
      <c r="Q18" s="16" t="s">
        <v>45</v>
      </c>
      <c r="R18" s="16" t="s">
        <v>48</v>
      </c>
      <c r="S18" s="16" t="s">
        <v>47</v>
      </c>
      <c r="T18" s="16" t="s">
        <v>46</v>
      </c>
      <c r="U18" s="16" t="s">
        <v>48</v>
      </c>
      <c r="V18" s="7">
        <f t="shared" si="0"/>
        <v>0</v>
      </c>
      <c r="W18" s="7">
        <f t="shared" si="0"/>
        <v>0</v>
      </c>
      <c r="X18" s="7">
        <f t="shared" si="0"/>
        <v>0</v>
      </c>
      <c r="Y18" s="7">
        <f t="shared" si="0"/>
        <v>0</v>
      </c>
      <c r="Z18" s="7">
        <f t="shared" si="0"/>
        <v>0</v>
      </c>
      <c r="AA18" s="7">
        <f t="shared" si="0"/>
        <v>0</v>
      </c>
      <c r="AB18" s="7">
        <f t="shared" si="1"/>
        <v>0</v>
      </c>
      <c r="AC18" s="7">
        <f t="shared" si="1"/>
        <v>0</v>
      </c>
      <c r="AD18" s="7">
        <f t="shared" si="1"/>
        <v>1</v>
      </c>
      <c r="AE18" s="7">
        <f t="shared" si="1"/>
        <v>1</v>
      </c>
      <c r="AF18" s="7">
        <f t="shared" si="1"/>
        <v>0</v>
      </c>
      <c r="AG18" s="7">
        <f t="shared" si="1"/>
        <v>0</v>
      </c>
      <c r="AH18" s="7">
        <f t="shared" si="1"/>
        <v>0</v>
      </c>
      <c r="AI18" s="7">
        <f t="shared" si="1"/>
        <v>0</v>
      </c>
      <c r="AJ18" s="7">
        <f t="shared" si="1"/>
        <v>0</v>
      </c>
      <c r="AK18" s="7">
        <f t="shared" si="1"/>
        <v>0</v>
      </c>
      <c r="AL18" s="7">
        <f t="shared" si="1"/>
        <v>0</v>
      </c>
      <c r="AM18" s="7">
        <f t="shared" si="1"/>
        <v>1</v>
      </c>
      <c r="AN18" s="7">
        <f t="shared" si="1"/>
        <v>0</v>
      </c>
      <c r="AO18" s="7">
        <f t="shared" si="1"/>
        <v>0</v>
      </c>
      <c r="AP18" s="17">
        <f t="shared" si="2"/>
        <v>1.75</v>
      </c>
      <c r="AQ18" s="27">
        <v>1</v>
      </c>
      <c r="AR18" s="7" t="s">
        <v>30</v>
      </c>
      <c r="AS18" s="30">
        <v>4</v>
      </c>
      <c r="AT18" t="s">
        <v>141</v>
      </c>
    </row>
    <row r="19" spans="1:46" ht="12.75" x14ac:dyDescent="0.2">
      <c r="A19" s="7" t="s">
        <v>93</v>
      </c>
      <c r="B19" s="16" t="s">
        <v>45</v>
      </c>
      <c r="C19" s="16" t="s">
        <v>46</v>
      </c>
      <c r="D19" s="16" t="s">
        <v>45</v>
      </c>
      <c r="E19" s="16" t="s">
        <v>45</v>
      </c>
      <c r="F19" s="16" t="s">
        <v>47</v>
      </c>
      <c r="G19" s="16" t="s">
        <v>45</v>
      </c>
      <c r="H19" s="16" t="s">
        <v>46</v>
      </c>
      <c r="I19" s="16" t="s">
        <v>47</v>
      </c>
      <c r="J19" s="16" t="s">
        <v>45</v>
      </c>
      <c r="K19" s="16" t="s">
        <v>48</v>
      </c>
      <c r="L19" s="16" t="s">
        <v>46</v>
      </c>
      <c r="M19" s="16" t="s">
        <v>47</v>
      </c>
      <c r="N19" s="16" t="s">
        <v>46</v>
      </c>
      <c r="O19" s="16" t="s">
        <v>47</v>
      </c>
      <c r="P19" s="16" t="s">
        <v>45</v>
      </c>
      <c r="Q19" s="16" t="s">
        <v>48</v>
      </c>
      <c r="R19" s="16" t="s">
        <v>46</v>
      </c>
      <c r="S19" s="16" t="s">
        <v>47</v>
      </c>
      <c r="T19" s="16" t="s">
        <v>45</v>
      </c>
      <c r="U19" s="16" t="s">
        <v>48</v>
      </c>
      <c r="V19" s="7">
        <f t="shared" si="0"/>
        <v>1</v>
      </c>
      <c r="W19" s="7">
        <f t="shared" si="0"/>
        <v>0</v>
      </c>
      <c r="X19" s="7">
        <f t="shared" si="0"/>
        <v>0</v>
      </c>
      <c r="Y19" s="7">
        <f t="shared" si="0"/>
        <v>0</v>
      </c>
      <c r="Z19" s="7">
        <f t="shared" si="0"/>
        <v>1</v>
      </c>
      <c r="AA19" s="7">
        <f t="shared" si="0"/>
        <v>1</v>
      </c>
      <c r="AB19" s="7">
        <f t="shared" si="1"/>
        <v>0</v>
      </c>
      <c r="AC19" s="7">
        <f t="shared" si="1"/>
        <v>1</v>
      </c>
      <c r="AD19" s="7">
        <f t="shared" si="1"/>
        <v>1</v>
      </c>
      <c r="AE19" s="7">
        <f t="shared" si="1"/>
        <v>0</v>
      </c>
      <c r="AF19" s="7">
        <f t="shared" si="1"/>
        <v>0</v>
      </c>
      <c r="AG19" s="7">
        <f t="shared" si="1"/>
        <v>0</v>
      </c>
      <c r="AH19" s="7">
        <f t="shared" si="1"/>
        <v>0</v>
      </c>
      <c r="AI19" s="7">
        <f t="shared" si="1"/>
        <v>0</v>
      </c>
      <c r="AJ19" s="7">
        <f t="shared" si="1"/>
        <v>0</v>
      </c>
      <c r="AK19" s="7">
        <f t="shared" si="1"/>
        <v>0</v>
      </c>
      <c r="AL19" s="7">
        <f t="shared" si="1"/>
        <v>0</v>
      </c>
      <c r="AM19" s="7">
        <f t="shared" si="1"/>
        <v>1</v>
      </c>
      <c r="AN19" s="7">
        <f t="shared" si="1"/>
        <v>0</v>
      </c>
      <c r="AO19" s="7">
        <f t="shared" si="1"/>
        <v>0</v>
      </c>
      <c r="AP19" s="17">
        <f t="shared" si="2"/>
        <v>2.5</v>
      </c>
      <c r="AQ19" s="27">
        <v>1</v>
      </c>
      <c r="AR19" s="7" t="s">
        <v>31</v>
      </c>
      <c r="AS19" s="30">
        <v>7</v>
      </c>
      <c r="AT19" t="s">
        <v>141</v>
      </c>
    </row>
    <row r="20" spans="1:46" ht="12.75" x14ac:dyDescent="0.2">
      <c r="A20" s="7" t="s">
        <v>94</v>
      </c>
      <c r="B20" s="16" t="s">
        <v>46</v>
      </c>
      <c r="C20" s="16" t="s">
        <v>46</v>
      </c>
      <c r="D20" s="16" t="s">
        <v>46</v>
      </c>
      <c r="E20" s="16" t="s">
        <v>48</v>
      </c>
      <c r="F20" s="16" t="s">
        <v>45</v>
      </c>
      <c r="G20" s="16" t="s">
        <v>45</v>
      </c>
      <c r="H20" s="16" t="s">
        <v>46</v>
      </c>
      <c r="I20" s="16" t="s">
        <v>48</v>
      </c>
      <c r="J20" s="16" t="s">
        <v>47</v>
      </c>
      <c r="K20" s="16" t="s">
        <v>47</v>
      </c>
      <c r="L20" s="16" t="s">
        <v>45</v>
      </c>
      <c r="M20" s="16" t="s">
        <v>48</v>
      </c>
      <c r="N20" s="16" t="s">
        <v>46</v>
      </c>
      <c r="O20" s="16" t="s">
        <v>45</v>
      </c>
      <c r="P20" s="16" t="s">
        <v>47</v>
      </c>
      <c r="Q20" s="16" t="s">
        <v>46</v>
      </c>
      <c r="R20" s="16" t="s">
        <v>48</v>
      </c>
      <c r="S20" s="16" t="s">
        <v>45</v>
      </c>
      <c r="T20" s="16" t="s">
        <v>47</v>
      </c>
      <c r="U20" s="16" t="s">
        <v>6</v>
      </c>
      <c r="V20" s="7">
        <f t="shared" ref="V20:AA35" si="3">IF(B20=B$3,1,0)</f>
        <v>0</v>
      </c>
      <c r="W20" s="7">
        <f t="shared" si="3"/>
        <v>0</v>
      </c>
      <c r="X20" s="7">
        <f t="shared" si="3"/>
        <v>1</v>
      </c>
      <c r="Y20" s="7">
        <f t="shared" si="3"/>
        <v>0</v>
      </c>
      <c r="Z20" s="7">
        <f t="shared" si="3"/>
        <v>0</v>
      </c>
      <c r="AA20" s="7">
        <f t="shared" si="3"/>
        <v>1</v>
      </c>
      <c r="AB20" s="7">
        <f t="shared" si="1"/>
        <v>0</v>
      </c>
      <c r="AC20" s="7">
        <f t="shared" si="1"/>
        <v>0</v>
      </c>
      <c r="AD20" s="7">
        <f t="shared" si="1"/>
        <v>0</v>
      </c>
      <c r="AE20" s="7">
        <f t="shared" si="1"/>
        <v>0</v>
      </c>
      <c r="AF20" s="7">
        <f t="shared" si="1"/>
        <v>1</v>
      </c>
      <c r="AG20" s="7">
        <f t="shared" si="1"/>
        <v>1</v>
      </c>
      <c r="AH20" s="7">
        <f t="shared" si="1"/>
        <v>0</v>
      </c>
      <c r="AI20" s="7">
        <f t="shared" si="1"/>
        <v>1</v>
      </c>
      <c r="AJ20" s="7">
        <f t="shared" si="1"/>
        <v>0</v>
      </c>
      <c r="AK20" s="7">
        <f t="shared" si="1"/>
        <v>1</v>
      </c>
      <c r="AL20" s="7">
        <f t="shared" si="1"/>
        <v>0</v>
      </c>
      <c r="AM20" s="7">
        <f t="shared" si="1"/>
        <v>0</v>
      </c>
      <c r="AN20" s="7">
        <f t="shared" si="1"/>
        <v>0</v>
      </c>
      <c r="AO20" s="7">
        <f t="shared" si="1"/>
        <v>0</v>
      </c>
      <c r="AP20" s="17">
        <f t="shared" si="2"/>
        <v>2.5</v>
      </c>
      <c r="AQ20" s="27">
        <v>2</v>
      </c>
      <c r="AR20" s="7" t="s">
        <v>32</v>
      </c>
      <c r="AS20" s="30">
        <v>4</v>
      </c>
      <c r="AT20" t="s">
        <v>141</v>
      </c>
    </row>
    <row r="21" spans="1:46" ht="12.75" x14ac:dyDescent="0.2">
      <c r="A21" s="7" t="s">
        <v>95</v>
      </c>
      <c r="B21" s="16" t="s">
        <v>45</v>
      </c>
      <c r="C21" s="16" t="s">
        <v>46</v>
      </c>
      <c r="D21" s="16" t="s">
        <v>47</v>
      </c>
      <c r="E21" s="16" t="s">
        <v>47</v>
      </c>
      <c r="F21" s="16" t="s">
        <v>47</v>
      </c>
      <c r="G21" s="16" t="s">
        <v>45</v>
      </c>
      <c r="H21" s="16" t="s">
        <v>46</v>
      </c>
      <c r="I21" s="16" t="s">
        <v>47</v>
      </c>
      <c r="J21" s="16" t="s">
        <v>45</v>
      </c>
      <c r="K21" s="16" t="s">
        <v>48</v>
      </c>
      <c r="L21" s="16" t="s">
        <v>47</v>
      </c>
      <c r="M21" s="16" t="s">
        <v>47</v>
      </c>
      <c r="N21" s="16" t="s">
        <v>46</v>
      </c>
      <c r="O21" s="16" t="s">
        <v>47</v>
      </c>
      <c r="P21" s="16" t="s">
        <v>45</v>
      </c>
      <c r="Q21" s="16" t="s">
        <v>48</v>
      </c>
      <c r="R21" s="16" t="s">
        <v>46</v>
      </c>
      <c r="S21" s="16" t="s">
        <v>47</v>
      </c>
      <c r="T21" s="16" t="s">
        <v>45</v>
      </c>
      <c r="U21" s="16" t="s">
        <v>48</v>
      </c>
      <c r="V21" s="7">
        <f t="shared" si="3"/>
        <v>1</v>
      </c>
      <c r="W21" s="7">
        <f t="shared" si="3"/>
        <v>0</v>
      </c>
      <c r="X21" s="7">
        <f t="shared" si="3"/>
        <v>0</v>
      </c>
      <c r="Y21" s="7">
        <f t="shared" si="3"/>
        <v>1</v>
      </c>
      <c r="Z21" s="7">
        <f t="shared" si="3"/>
        <v>1</v>
      </c>
      <c r="AA21" s="7">
        <f t="shared" si="3"/>
        <v>1</v>
      </c>
      <c r="AB21" s="7">
        <f t="shared" si="1"/>
        <v>0</v>
      </c>
      <c r="AC21" s="7">
        <f t="shared" si="1"/>
        <v>1</v>
      </c>
      <c r="AD21" s="7">
        <f t="shared" si="1"/>
        <v>1</v>
      </c>
      <c r="AE21" s="7">
        <f t="shared" si="1"/>
        <v>0</v>
      </c>
      <c r="AF21" s="7">
        <f t="shared" si="1"/>
        <v>0</v>
      </c>
      <c r="AG21" s="7">
        <f t="shared" si="1"/>
        <v>0</v>
      </c>
      <c r="AH21" s="7">
        <f t="shared" si="1"/>
        <v>0</v>
      </c>
      <c r="AI21" s="7">
        <f t="shared" si="1"/>
        <v>0</v>
      </c>
      <c r="AJ21" s="7">
        <f t="shared" si="1"/>
        <v>0</v>
      </c>
      <c r="AK21" s="7">
        <f t="shared" si="1"/>
        <v>0</v>
      </c>
      <c r="AL21" s="7">
        <f t="shared" si="1"/>
        <v>0</v>
      </c>
      <c r="AM21" s="7">
        <f t="shared" si="1"/>
        <v>1</v>
      </c>
      <c r="AN21" s="7">
        <f t="shared" si="1"/>
        <v>0</v>
      </c>
      <c r="AO21" s="7">
        <f t="shared" si="1"/>
        <v>0</v>
      </c>
      <c r="AP21" s="17">
        <f t="shared" si="2"/>
        <v>2.75</v>
      </c>
      <c r="AQ21" s="27">
        <v>1</v>
      </c>
      <c r="AR21" s="7" t="s">
        <v>33</v>
      </c>
      <c r="AS21" s="30">
        <v>15</v>
      </c>
      <c r="AT21" t="s">
        <v>141</v>
      </c>
    </row>
    <row r="22" spans="1:46" ht="12.75" x14ac:dyDescent="0.2">
      <c r="A22" s="7" t="s">
        <v>96</v>
      </c>
      <c r="B22" s="16" t="s">
        <v>47</v>
      </c>
      <c r="C22" s="16" t="s">
        <v>48</v>
      </c>
      <c r="D22" s="16" t="s">
        <v>46</v>
      </c>
      <c r="E22" s="16" t="s">
        <v>46</v>
      </c>
      <c r="F22" s="16" t="s">
        <v>47</v>
      </c>
      <c r="G22" s="16" t="s">
        <v>45</v>
      </c>
      <c r="H22" s="16" t="s">
        <v>45</v>
      </c>
      <c r="I22" s="16" t="s">
        <v>46</v>
      </c>
      <c r="J22" s="16" t="s">
        <v>47</v>
      </c>
      <c r="K22" s="16" t="s">
        <v>47</v>
      </c>
      <c r="L22" s="16" t="s">
        <v>45</v>
      </c>
      <c r="M22" s="16" t="s">
        <v>46</v>
      </c>
      <c r="N22" s="16" t="s">
        <v>46</v>
      </c>
      <c r="O22" s="16" t="s">
        <v>46</v>
      </c>
      <c r="P22" s="16" t="s">
        <v>6</v>
      </c>
      <c r="Q22" s="16" t="s">
        <v>45</v>
      </c>
      <c r="R22" s="16" t="s">
        <v>47</v>
      </c>
      <c r="S22" s="16" t="s">
        <v>48</v>
      </c>
      <c r="T22" s="16" t="s">
        <v>46</v>
      </c>
      <c r="U22" s="16" t="s">
        <v>47</v>
      </c>
      <c r="V22" s="7">
        <f t="shared" si="3"/>
        <v>0</v>
      </c>
      <c r="W22" s="7">
        <f t="shared" si="3"/>
        <v>0</v>
      </c>
      <c r="X22" s="7">
        <f t="shared" si="3"/>
        <v>1</v>
      </c>
      <c r="Y22" s="7">
        <f t="shared" si="3"/>
        <v>0</v>
      </c>
      <c r="Z22" s="7">
        <f t="shared" si="3"/>
        <v>1</v>
      </c>
      <c r="AA22" s="7">
        <f t="shared" si="3"/>
        <v>1</v>
      </c>
      <c r="AB22" s="7">
        <f t="shared" si="1"/>
        <v>1</v>
      </c>
      <c r="AC22" s="7">
        <f t="shared" si="1"/>
        <v>0</v>
      </c>
      <c r="AD22" s="7">
        <f t="shared" si="1"/>
        <v>0</v>
      </c>
      <c r="AE22" s="7">
        <f t="shared" ref="AE22:AO35" si="4">IF(K22=J$3,1,0)</f>
        <v>0</v>
      </c>
      <c r="AF22" s="7">
        <f t="shared" si="4"/>
        <v>1</v>
      </c>
      <c r="AG22" s="7">
        <f t="shared" si="4"/>
        <v>0</v>
      </c>
      <c r="AH22" s="7">
        <f t="shared" si="4"/>
        <v>0</v>
      </c>
      <c r="AI22" s="7">
        <f t="shared" si="4"/>
        <v>0</v>
      </c>
      <c r="AJ22" s="7">
        <f t="shared" si="4"/>
        <v>0</v>
      </c>
      <c r="AK22" s="7">
        <f t="shared" si="4"/>
        <v>0</v>
      </c>
      <c r="AL22" s="7">
        <f t="shared" si="4"/>
        <v>0</v>
      </c>
      <c r="AM22" s="7">
        <f t="shared" si="4"/>
        <v>0</v>
      </c>
      <c r="AN22" s="7">
        <f t="shared" si="4"/>
        <v>0</v>
      </c>
      <c r="AO22" s="7">
        <f t="shared" si="4"/>
        <v>0</v>
      </c>
      <c r="AP22" s="17">
        <f t="shared" si="2"/>
        <v>2.25</v>
      </c>
      <c r="AQ22" s="27">
        <v>1</v>
      </c>
      <c r="AR22" s="7" t="s">
        <v>34</v>
      </c>
      <c r="AS22" s="30">
        <v>2</v>
      </c>
      <c r="AT22" t="s">
        <v>141</v>
      </c>
    </row>
    <row r="23" spans="1:46" ht="13.5" thickBot="1" x14ac:dyDescent="0.25">
      <c r="A23" s="7" t="s">
        <v>97</v>
      </c>
      <c r="B23" s="16" t="s">
        <v>45</v>
      </c>
      <c r="C23" s="16" t="s">
        <v>46</v>
      </c>
      <c r="D23" s="16" t="s">
        <v>45</v>
      </c>
      <c r="E23" s="16" t="s">
        <v>46</v>
      </c>
      <c r="F23" s="16" t="s">
        <v>47</v>
      </c>
      <c r="G23" s="16" t="s">
        <v>45</v>
      </c>
      <c r="H23" s="16" t="s">
        <v>46</v>
      </c>
      <c r="I23" s="16" t="s">
        <v>47</v>
      </c>
      <c r="J23" s="16" t="s">
        <v>45</v>
      </c>
      <c r="K23" s="16" t="s">
        <v>48</v>
      </c>
      <c r="L23" s="16" t="s">
        <v>47</v>
      </c>
      <c r="M23" s="16" t="s">
        <v>47</v>
      </c>
      <c r="N23" s="16" t="s">
        <v>46</v>
      </c>
      <c r="O23" s="16" t="s">
        <v>47</v>
      </c>
      <c r="P23" s="16" t="s">
        <v>45</v>
      </c>
      <c r="Q23" s="16" t="s">
        <v>48</v>
      </c>
      <c r="R23" s="16" t="s">
        <v>46</v>
      </c>
      <c r="S23" s="16" t="s">
        <v>47</v>
      </c>
      <c r="T23" s="16" t="s">
        <v>45</v>
      </c>
      <c r="U23" s="16" t="s">
        <v>46</v>
      </c>
      <c r="V23" s="7">
        <f t="shared" si="3"/>
        <v>1</v>
      </c>
      <c r="W23" s="7">
        <f t="shared" si="3"/>
        <v>0</v>
      </c>
      <c r="X23" s="7">
        <f t="shared" si="3"/>
        <v>0</v>
      </c>
      <c r="Y23" s="7">
        <f t="shared" si="3"/>
        <v>0</v>
      </c>
      <c r="Z23" s="7">
        <f t="shared" si="3"/>
        <v>1</v>
      </c>
      <c r="AA23" s="7">
        <f t="shared" si="3"/>
        <v>1</v>
      </c>
      <c r="AB23" s="7">
        <f t="shared" ref="AB23:AD35" si="5">IF(H23=G$3,1,0)</f>
        <v>0</v>
      </c>
      <c r="AC23" s="7">
        <f t="shared" si="5"/>
        <v>1</v>
      </c>
      <c r="AD23" s="7">
        <f t="shared" si="5"/>
        <v>1</v>
      </c>
      <c r="AE23" s="7">
        <f t="shared" si="4"/>
        <v>0</v>
      </c>
      <c r="AF23" s="7">
        <f t="shared" si="4"/>
        <v>0</v>
      </c>
      <c r="AG23" s="7">
        <f t="shared" si="4"/>
        <v>0</v>
      </c>
      <c r="AH23" s="7">
        <f t="shared" si="4"/>
        <v>0</v>
      </c>
      <c r="AI23" s="7">
        <f t="shared" si="4"/>
        <v>0</v>
      </c>
      <c r="AJ23" s="7">
        <f t="shared" si="4"/>
        <v>0</v>
      </c>
      <c r="AK23" s="7">
        <f t="shared" si="4"/>
        <v>0</v>
      </c>
      <c r="AL23" s="7">
        <f t="shared" si="4"/>
        <v>0</v>
      </c>
      <c r="AM23" s="7">
        <f t="shared" si="4"/>
        <v>1</v>
      </c>
      <c r="AN23" s="7">
        <f t="shared" si="4"/>
        <v>0</v>
      </c>
      <c r="AO23" s="7">
        <f t="shared" si="4"/>
        <v>1</v>
      </c>
      <c r="AP23" s="17">
        <f t="shared" si="2"/>
        <v>2.75</v>
      </c>
      <c r="AQ23" s="27">
        <v>1</v>
      </c>
      <c r="AR23" s="7" t="s">
        <v>35</v>
      </c>
      <c r="AS23" s="49">
        <v>5</v>
      </c>
      <c r="AT23" t="s">
        <v>141</v>
      </c>
    </row>
    <row r="24" spans="1:46" ht="12.75" x14ac:dyDescent="0.2">
      <c r="A24" s="7" t="s">
        <v>98</v>
      </c>
      <c r="B24" s="16" t="s">
        <v>45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45</v>
      </c>
      <c r="H24" s="16" t="s">
        <v>45</v>
      </c>
      <c r="I24" s="16" t="s">
        <v>46</v>
      </c>
      <c r="J24" s="16" t="s">
        <v>48</v>
      </c>
      <c r="K24" s="16" t="s">
        <v>45</v>
      </c>
      <c r="L24" s="16" t="s">
        <v>46</v>
      </c>
      <c r="M24" s="16" t="s">
        <v>46</v>
      </c>
      <c r="N24" s="16" t="s">
        <v>45</v>
      </c>
      <c r="O24" s="16" t="s">
        <v>47</v>
      </c>
      <c r="P24" s="16" t="s">
        <v>48</v>
      </c>
      <c r="Q24" s="16" t="s">
        <v>48</v>
      </c>
      <c r="R24" s="16" t="s">
        <v>46</v>
      </c>
      <c r="S24" s="16" t="s">
        <v>47</v>
      </c>
      <c r="T24" s="16" t="s">
        <v>47</v>
      </c>
      <c r="U24" s="16" t="s">
        <v>48</v>
      </c>
      <c r="V24" s="7">
        <f t="shared" si="3"/>
        <v>1</v>
      </c>
      <c r="W24" s="7">
        <f t="shared" si="3"/>
        <v>0</v>
      </c>
      <c r="X24" s="7">
        <f t="shared" si="3"/>
        <v>0</v>
      </c>
      <c r="Y24" s="7">
        <f t="shared" si="3"/>
        <v>1</v>
      </c>
      <c r="Z24" s="7">
        <f t="shared" si="3"/>
        <v>1</v>
      </c>
      <c r="AA24" s="7">
        <f t="shared" si="3"/>
        <v>1</v>
      </c>
      <c r="AB24" s="7">
        <f t="shared" si="5"/>
        <v>1</v>
      </c>
      <c r="AC24" s="7">
        <f t="shared" si="5"/>
        <v>0</v>
      </c>
      <c r="AD24" s="7">
        <f t="shared" si="5"/>
        <v>0</v>
      </c>
      <c r="AE24" s="7">
        <f t="shared" si="4"/>
        <v>1</v>
      </c>
      <c r="AF24" s="7">
        <f t="shared" si="4"/>
        <v>0</v>
      </c>
      <c r="AG24" s="7">
        <f t="shared" si="4"/>
        <v>0</v>
      </c>
      <c r="AH24" s="7">
        <f t="shared" si="4"/>
        <v>1</v>
      </c>
      <c r="AI24" s="7">
        <f t="shared" si="4"/>
        <v>0</v>
      </c>
      <c r="AJ24" s="7">
        <f t="shared" si="4"/>
        <v>1</v>
      </c>
      <c r="AK24" s="7">
        <f t="shared" si="4"/>
        <v>0</v>
      </c>
      <c r="AL24" s="7">
        <f t="shared" si="4"/>
        <v>0</v>
      </c>
      <c r="AM24" s="7">
        <f t="shared" si="4"/>
        <v>1</v>
      </c>
      <c r="AN24" s="7">
        <f t="shared" si="4"/>
        <v>0</v>
      </c>
      <c r="AO24" s="7">
        <f t="shared" si="4"/>
        <v>0</v>
      </c>
      <c r="AP24" s="17">
        <f t="shared" si="2"/>
        <v>3.25</v>
      </c>
      <c r="AS24" s="55" t="s">
        <v>178</v>
      </c>
      <c r="AT24" t="s">
        <v>141</v>
      </c>
    </row>
    <row r="25" spans="1:46" ht="12.75" x14ac:dyDescent="0.2">
      <c r="A25" s="7" t="s">
        <v>99</v>
      </c>
      <c r="B25" s="16" t="s">
        <v>45</v>
      </c>
      <c r="C25" s="16" t="s">
        <v>46</v>
      </c>
      <c r="D25" s="16" t="s">
        <v>45</v>
      </c>
      <c r="E25" s="16" t="s">
        <v>46</v>
      </c>
      <c r="F25" s="16" t="s">
        <v>47</v>
      </c>
      <c r="G25" s="16" t="s">
        <v>45</v>
      </c>
      <c r="H25" s="16" t="s">
        <v>46</v>
      </c>
      <c r="I25" s="16" t="s">
        <v>47</v>
      </c>
      <c r="J25" s="16" t="s">
        <v>45</v>
      </c>
      <c r="K25" s="16" t="s">
        <v>48</v>
      </c>
      <c r="L25" s="16" t="s">
        <v>47</v>
      </c>
      <c r="M25" s="16" t="s">
        <v>47</v>
      </c>
      <c r="N25" s="16" t="s">
        <v>48</v>
      </c>
      <c r="O25" s="16" t="s">
        <v>47</v>
      </c>
      <c r="P25" s="16" t="s">
        <v>48</v>
      </c>
      <c r="Q25" s="16" t="s">
        <v>47</v>
      </c>
      <c r="R25" s="16" t="s">
        <v>45</v>
      </c>
      <c r="S25" s="16" t="s">
        <v>47</v>
      </c>
      <c r="T25" s="16" t="s">
        <v>45</v>
      </c>
      <c r="U25" s="16" t="s">
        <v>47</v>
      </c>
      <c r="V25" s="7">
        <f t="shared" si="3"/>
        <v>1</v>
      </c>
      <c r="W25" s="7">
        <f t="shared" si="3"/>
        <v>0</v>
      </c>
      <c r="X25" s="7">
        <f t="shared" si="3"/>
        <v>0</v>
      </c>
      <c r="Y25" s="7">
        <f t="shared" si="3"/>
        <v>0</v>
      </c>
      <c r="Z25" s="7">
        <f t="shared" si="3"/>
        <v>1</v>
      </c>
      <c r="AA25" s="7">
        <f t="shared" si="3"/>
        <v>1</v>
      </c>
      <c r="AB25" s="7">
        <f t="shared" si="5"/>
        <v>0</v>
      </c>
      <c r="AC25" s="7">
        <f t="shared" si="5"/>
        <v>1</v>
      </c>
      <c r="AD25" s="7">
        <f t="shared" si="5"/>
        <v>1</v>
      </c>
      <c r="AE25" s="7">
        <f t="shared" si="4"/>
        <v>0</v>
      </c>
      <c r="AF25" s="7">
        <f t="shared" si="4"/>
        <v>0</v>
      </c>
      <c r="AG25" s="7">
        <f t="shared" si="4"/>
        <v>0</v>
      </c>
      <c r="AH25" s="7">
        <f t="shared" si="4"/>
        <v>0</v>
      </c>
      <c r="AI25" s="7">
        <f t="shared" si="4"/>
        <v>0</v>
      </c>
      <c r="AJ25" s="7">
        <f t="shared" si="4"/>
        <v>1</v>
      </c>
      <c r="AK25" s="7">
        <f t="shared" si="4"/>
        <v>0</v>
      </c>
      <c r="AL25" s="7">
        <f t="shared" si="4"/>
        <v>1</v>
      </c>
      <c r="AM25" s="7">
        <f t="shared" si="4"/>
        <v>1</v>
      </c>
      <c r="AN25" s="7">
        <f t="shared" si="4"/>
        <v>0</v>
      </c>
      <c r="AO25" s="7">
        <f t="shared" si="4"/>
        <v>0</v>
      </c>
      <c r="AP25" s="17">
        <f t="shared" si="2"/>
        <v>3</v>
      </c>
      <c r="AS25" s="56"/>
      <c r="AT25" t="s">
        <v>141</v>
      </c>
    </row>
    <row r="26" spans="1:46" ht="12.75" x14ac:dyDescent="0.2">
      <c r="A26" s="7" t="s">
        <v>100</v>
      </c>
      <c r="B26" s="16" t="s">
        <v>45</v>
      </c>
      <c r="C26" s="16" t="s">
        <v>47</v>
      </c>
      <c r="D26" s="16" t="s">
        <v>46</v>
      </c>
      <c r="E26" s="16" t="s">
        <v>47</v>
      </c>
      <c r="F26" s="16" t="s">
        <v>45</v>
      </c>
      <c r="G26" s="16" t="s">
        <v>47</v>
      </c>
      <c r="H26" s="16" t="s">
        <v>48</v>
      </c>
      <c r="I26" s="16" t="s">
        <v>48</v>
      </c>
      <c r="J26" s="16" t="s">
        <v>45</v>
      </c>
      <c r="K26" s="16" t="s">
        <v>47</v>
      </c>
      <c r="L26" s="16" t="s">
        <v>48</v>
      </c>
      <c r="M26" s="16" t="s">
        <v>46</v>
      </c>
      <c r="N26" s="16" t="s">
        <v>45</v>
      </c>
      <c r="O26" s="16" t="s">
        <v>47</v>
      </c>
      <c r="P26" s="16" t="s">
        <v>45</v>
      </c>
      <c r="Q26" s="16" t="s">
        <v>45</v>
      </c>
      <c r="R26" s="16" t="s">
        <v>47</v>
      </c>
      <c r="S26" s="16" t="s">
        <v>45</v>
      </c>
      <c r="T26" s="16" t="s">
        <v>46</v>
      </c>
      <c r="U26" s="16" t="s">
        <v>48</v>
      </c>
      <c r="V26" s="7">
        <f t="shared" si="3"/>
        <v>1</v>
      </c>
      <c r="W26" s="7">
        <f t="shared" si="3"/>
        <v>0</v>
      </c>
      <c r="X26" s="7">
        <f t="shared" si="3"/>
        <v>1</v>
      </c>
      <c r="Y26" s="7">
        <f t="shared" si="3"/>
        <v>1</v>
      </c>
      <c r="Z26" s="7">
        <f t="shared" si="3"/>
        <v>0</v>
      </c>
      <c r="AA26" s="7">
        <f t="shared" si="3"/>
        <v>0</v>
      </c>
      <c r="AB26" s="7">
        <f t="shared" si="5"/>
        <v>0</v>
      </c>
      <c r="AC26" s="7">
        <f t="shared" si="5"/>
        <v>0</v>
      </c>
      <c r="AD26" s="7">
        <f t="shared" si="5"/>
        <v>1</v>
      </c>
      <c r="AE26" s="7">
        <f t="shared" si="4"/>
        <v>0</v>
      </c>
      <c r="AF26" s="7">
        <f t="shared" si="4"/>
        <v>0</v>
      </c>
      <c r="AG26" s="7">
        <f t="shared" si="4"/>
        <v>0</v>
      </c>
      <c r="AH26" s="7">
        <f t="shared" si="4"/>
        <v>1</v>
      </c>
      <c r="AI26" s="7">
        <f t="shared" si="4"/>
        <v>0</v>
      </c>
      <c r="AJ26" s="7">
        <f t="shared" si="4"/>
        <v>0</v>
      </c>
      <c r="AK26" s="7">
        <f t="shared" si="4"/>
        <v>0</v>
      </c>
      <c r="AL26" s="7">
        <f t="shared" si="4"/>
        <v>0</v>
      </c>
      <c r="AM26" s="7">
        <f t="shared" si="4"/>
        <v>0</v>
      </c>
      <c r="AN26" s="7">
        <f t="shared" si="4"/>
        <v>0</v>
      </c>
      <c r="AO26" s="7">
        <f t="shared" si="4"/>
        <v>0</v>
      </c>
      <c r="AP26" s="17">
        <f t="shared" si="2"/>
        <v>2.25</v>
      </c>
      <c r="AS26" s="56"/>
      <c r="AT26" t="s">
        <v>141</v>
      </c>
    </row>
    <row r="27" spans="1:46" ht="12.75" x14ac:dyDescent="0.2">
      <c r="A27" s="7" t="s">
        <v>101</v>
      </c>
      <c r="B27" s="16" t="s">
        <v>45</v>
      </c>
      <c r="C27" s="16" t="s">
        <v>47</v>
      </c>
      <c r="D27" s="16" t="s">
        <v>46</v>
      </c>
      <c r="E27" s="16" t="s">
        <v>46</v>
      </c>
      <c r="F27" s="16" t="s">
        <v>46</v>
      </c>
      <c r="G27" s="16" t="s">
        <v>47</v>
      </c>
      <c r="H27" s="16" t="s">
        <v>48</v>
      </c>
      <c r="I27" s="16" t="s">
        <v>48</v>
      </c>
      <c r="J27" s="16" t="s">
        <v>47</v>
      </c>
      <c r="K27" s="16" t="s">
        <v>47</v>
      </c>
      <c r="L27" s="16" t="s">
        <v>48</v>
      </c>
      <c r="M27" s="16" t="s">
        <v>47</v>
      </c>
      <c r="N27" s="16" t="s">
        <v>48</v>
      </c>
      <c r="O27" s="16" t="s">
        <v>47</v>
      </c>
      <c r="P27" s="16" t="s">
        <v>48</v>
      </c>
      <c r="Q27" s="16" t="s">
        <v>45</v>
      </c>
      <c r="R27" s="16" t="s">
        <v>47</v>
      </c>
      <c r="S27" s="16" t="s">
        <v>47</v>
      </c>
      <c r="T27" s="16" t="s">
        <v>47</v>
      </c>
      <c r="U27" s="16" t="s">
        <v>48</v>
      </c>
      <c r="V27" s="7">
        <f t="shared" si="3"/>
        <v>1</v>
      </c>
      <c r="W27" s="7">
        <f t="shared" si="3"/>
        <v>0</v>
      </c>
      <c r="X27" s="7">
        <f t="shared" si="3"/>
        <v>1</v>
      </c>
      <c r="Y27" s="7">
        <f t="shared" si="3"/>
        <v>0</v>
      </c>
      <c r="Z27" s="7">
        <f t="shared" si="3"/>
        <v>0</v>
      </c>
      <c r="AA27" s="7">
        <f t="shared" si="3"/>
        <v>0</v>
      </c>
      <c r="AB27" s="7">
        <f t="shared" si="5"/>
        <v>0</v>
      </c>
      <c r="AC27" s="7">
        <f t="shared" si="5"/>
        <v>0</v>
      </c>
      <c r="AD27" s="7">
        <f t="shared" si="5"/>
        <v>0</v>
      </c>
      <c r="AE27" s="7">
        <f t="shared" si="4"/>
        <v>0</v>
      </c>
      <c r="AF27" s="7">
        <f t="shared" si="4"/>
        <v>0</v>
      </c>
      <c r="AG27" s="7">
        <f t="shared" si="4"/>
        <v>0</v>
      </c>
      <c r="AH27" s="7">
        <f t="shared" si="4"/>
        <v>0</v>
      </c>
      <c r="AI27" s="7">
        <f t="shared" si="4"/>
        <v>0</v>
      </c>
      <c r="AJ27" s="7">
        <f t="shared" si="4"/>
        <v>1</v>
      </c>
      <c r="AK27" s="7">
        <f t="shared" si="4"/>
        <v>0</v>
      </c>
      <c r="AL27" s="7">
        <f t="shared" si="4"/>
        <v>0</v>
      </c>
      <c r="AM27" s="7">
        <f t="shared" si="4"/>
        <v>1</v>
      </c>
      <c r="AN27" s="7">
        <f t="shared" si="4"/>
        <v>0</v>
      </c>
      <c r="AO27" s="7">
        <f t="shared" si="4"/>
        <v>0</v>
      </c>
      <c r="AP27" s="17">
        <f t="shared" si="2"/>
        <v>2</v>
      </c>
      <c r="AS27" s="56"/>
      <c r="AT27" t="s">
        <v>141</v>
      </c>
    </row>
    <row r="28" spans="1:46" ht="12.75" x14ac:dyDescent="0.2">
      <c r="A28" s="7" t="s">
        <v>102</v>
      </c>
      <c r="B28" s="16" t="s">
        <v>47</v>
      </c>
      <c r="C28" s="16" t="s">
        <v>45</v>
      </c>
      <c r="D28" s="16" t="s">
        <v>46</v>
      </c>
      <c r="E28" s="16" t="s">
        <v>46</v>
      </c>
      <c r="F28" s="16" t="s">
        <v>45</v>
      </c>
      <c r="G28" s="16" t="s">
        <v>47</v>
      </c>
      <c r="H28" s="16" t="s">
        <v>45</v>
      </c>
      <c r="I28" s="16" t="s">
        <v>48</v>
      </c>
      <c r="J28" s="16" t="s">
        <v>46</v>
      </c>
      <c r="K28" s="16" t="s">
        <v>48</v>
      </c>
      <c r="L28" s="16" t="s">
        <v>46</v>
      </c>
      <c r="M28" s="16" t="s">
        <v>46</v>
      </c>
      <c r="N28" s="16" t="s">
        <v>48</v>
      </c>
      <c r="O28" s="16" t="s">
        <v>48</v>
      </c>
      <c r="P28" s="16" t="s">
        <v>46</v>
      </c>
      <c r="Q28" s="16" t="s">
        <v>45</v>
      </c>
      <c r="R28" s="16" t="s">
        <v>47</v>
      </c>
      <c r="S28" s="16" t="s">
        <v>46</v>
      </c>
      <c r="T28" s="16" t="s">
        <v>47</v>
      </c>
      <c r="U28" s="16" t="s">
        <v>45</v>
      </c>
      <c r="V28" s="7">
        <f t="shared" si="3"/>
        <v>0</v>
      </c>
      <c r="W28" s="7">
        <f t="shared" si="3"/>
        <v>1</v>
      </c>
      <c r="X28" s="7">
        <f t="shared" si="3"/>
        <v>1</v>
      </c>
      <c r="Y28" s="7">
        <f t="shared" si="3"/>
        <v>0</v>
      </c>
      <c r="Z28" s="7">
        <f t="shared" si="3"/>
        <v>0</v>
      </c>
      <c r="AA28" s="7">
        <f t="shared" si="3"/>
        <v>0</v>
      </c>
      <c r="AB28" s="7">
        <f t="shared" si="5"/>
        <v>1</v>
      </c>
      <c r="AC28" s="7">
        <f t="shared" si="5"/>
        <v>0</v>
      </c>
      <c r="AD28" s="7">
        <f t="shared" si="5"/>
        <v>0</v>
      </c>
      <c r="AE28" s="7">
        <f t="shared" si="4"/>
        <v>0</v>
      </c>
      <c r="AF28" s="7">
        <f t="shared" si="4"/>
        <v>0</v>
      </c>
      <c r="AG28" s="7">
        <f t="shared" si="4"/>
        <v>0</v>
      </c>
      <c r="AH28" s="7">
        <f t="shared" si="4"/>
        <v>0</v>
      </c>
      <c r="AI28" s="7">
        <f t="shared" si="4"/>
        <v>0</v>
      </c>
      <c r="AJ28" s="7">
        <f t="shared" si="4"/>
        <v>0</v>
      </c>
      <c r="AK28" s="7">
        <f t="shared" si="4"/>
        <v>0</v>
      </c>
      <c r="AL28" s="7">
        <f t="shared" si="4"/>
        <v>0</v>
      </c>
      <c r="AM28" s="7">
        <f t="shared" si="4"/>
        <v>0</v>
      </c>
      <c r="AN28" s="7">
        <f t="shared" si="4"/>
        <v>0</v>
      </c>
      <c r="AO28" s="7">
        <f t="shared" si="4"/>
        <v>0</v>
      </c>
      <c r="AP28" s="17">
        <f t="shared" si="2"/>
        <v>1.75</v>
      </c>
      <c r="AS28" s="56"/>
      <c r="AT28" t="s">
        <v>141</v>
      </c>
    </row>
    <row r="29" spans="1:46" ht="12.75" x14ac:dyDescent="0.2">
      <c r="A29" s="7" t="s">
        <v>103</v>
      </c>
      <c r="B29" s="16" t="s">
        <v>47</v>
      </c>
      <c r="C29" s="16" t="s">
        <v>47</v>
      </c>
      <c r="D29" s="16" t="s">
        <v>48</v>
      </c>
      <c r="E29" s="16" t="s">
        <v>47</v>
      </c>
      <c r="F29" s="16" t="s">
        <v>48</v>
      </c>
      <c r="G29" s="16" t="s">
        <v>48</v>
      </c>
      <c r="H29" s="16" t="s">
        <v>46</v>
      </c>
      <c r="I29" s="16" t="s">
        <v>48</v>
      </c>
      <c r="J29" s="16" t="s">
        <v>47</v>
      </c>
      <c r="K29" s="16" t="s">
        <v>48</v>
      </c>
      <c r="L29" s="16" t="s">
        <v>46</v>
      </c>
      <c r="M29" s="16" t="s">
        <v>48</v>
      </c>
      <c r="N29" s="16" t="s">
        <v>48</v>
      </c>
      <c r="O29" s="16" t="s">
        <v>48</v>
      </c>
      <c r="P29" s="16" t="s">
        <v>47</v>
      </c>
      <c r="Q29" s="16" t="s">
        <v>45</v>
      </c>
      <c r="R29" s="16" t="s">
        <v>47</v>
      </c>
      <c r="S29" s="16" t="s">
        <v>46</v>
      </c>
      <c r="T29" s="16" t="s">
        <v>46</v>
      </c>
      <c r="U29" s="16" t="s">
        <v>47</v>
      </c>
      <c r="V29" s="7">
        <f t="shared" si="3"/>
        <v>0</v>
      </c>
      <c r="W29" s="7">
        <f t="shared" si="3"/>
        <v>0</v>
      </c>
      <c r="X29" s="7">
        <f t="shared" si="3"/>
        <v>0</v>
      </c>
      <c r="Y29" s="7">
        <f t="shared" si="3"/>
        <v>1</v>
      </c>
      <c r="Z29" s="7">
        <f t="shared" si="3"/>
        <v>0</v>
      </c>
      <c r="AA29" s="7">
        <f t="shared" si="3"/>
        <v>0</v>
      </c>
      <c r="AB29" s="7">
        <f t="shared" si="5"/>
        <v>0</v>
      </c>
      <c r="AC29" s="7">
        <f t="shared" si="5"/>
        <v>0</v>
      </c>
      <c r="AD29" s="7">
        <f t="shared" si="5"/>
        <v>0</v>
      </c>
      <c r="AE29" s="7">
        <f t="shared" si="4"/>
        <v>0</v>
      </c>
      <c r="AF29" s="7">
        <f t="shared" si="4"/>
        <v>0</v>
      </c>
      <c r="AG29" s="7">
        <f t="shared" si="4"/>
        <v>1</v>
      </c>
      <c r="AH29" s="7">
        <f t="shared" si="4"/>
        <v>0</v>
      </c>
      <c r="AI29" s="7">
        <f t="shared" si="4"/>
        <v>0</v>
      </c>
      <c r="AJ29" s="7">
        <f t="shared" si="4"/>
        <v>0</v>
      </c>
      <c r="AK29" s="7">
        <f t="shared" si="4"/>
        <v>0</v>
      </c>
      <c r="AL29" s="7">
        <f t="shared" si="4"/>
        <v>0</v>
      </c>
      <c r="AM29" s="7">
        <f t="shared" si="4"/>
        <v>0</v>
      </c>
      <c r="AN29" s="7">
        <f t="shared" si="4"/>
        <v>0</v>
      </c>
      <c r="AO29" s="7">
        <f t="shared" si="4"/>
        <v>0</v>
      </c>
      <c r="AP29" s="17">
        <f t="shared" si="2"/>
        <v>1.5</v>
      </c>
      <c r="AS29" s="56"/>
      <c r="AT29" t="s">
        <v>141</v>
      </c>
    </row>
    <row r="30" spans="1:46" ht="12.75" x14ac:dyDescent="0.2">
      <c r="A30" s="7" t="s">
        <v>104</v>
      </c>
      <c r="B30" s="16" t="s">
        <v>45</v>
      </c>
      <c r="C30" s="16" t="s">
        <v>46</v>
      </c>
      <c r="D30" s="16" t="s">
        <v>47</v>
      </c>
      <c r="E30" s="16" t="s">
        <v>48</v>
      </c>
      <c r="F30" s="16" t="s">
        <v>45</v>
      </c>
      <c r="G30" s="16" t="s">
        <v>47</v>
      </c>
      <c r="H30" s="16" t="s">
        <v>46</v>
      </c>
      <c r="I30" s="16" t="s">
        <v>48</v>
      </c>
      <c r="J30" s="16" t="s">
        <v>45</v>
      </c>
      <c r="K30" s="16" t="s">
        <v>46</v>
      </c>
      <c r="L30" s="16" t="s">
        <v>45</v>
      </c>
      <c r="M30" s="16" t="s">
        <v>48</v>
      </c>
      <c r="N30" s="16" t="s">
        <v>47</v>
      </c>
      <c r="O30" s="16" t="s">
        <v>48</v>
      </c>
      <c r="P30" s="16" t="s">
        <v>48</v>
      </c>
      <c r="Q30" s="16" t="s">
        <v>46</v>
      </c>
      <c r="R30" s="16" t="s">
        <v>48</v>
      </c>
      <c r="S30" s="16" t="s">
        <v>45</v>
      </c>
      <c r="T30" s="16" t="s">
        <v>46</v>
      </c>
      <c r="U30" s="16" t="s">
        <v>47</v>
      </c>
      <c r="V30" s="7">
        <f t="shared" si="3"/>
        <v>1</v>
      </c>
      <c r="W30" s="7">
        <f t="shared" si="3"/>
        <v>0</v>
      </c>
      <c r="X30" s="7">
        <f t="shared" si="3"/>
        <v>0</v>
      </c>
      <c r="Y30" s="7">
        <f t="shared" si="3"/>
        <v>0</v>
      </c>
      <c r="Z30" s="7">
        <f t="shared" si="3"/>
        <v>0</v>
      </c>
      <c r="AA30" s="7">
        <f t="shared" si="3"/>
        <v>0</v>
      </c>
      <c r="AB30" s="7">
        <f t="shared" si="5"/>
        <v>0</v>
      </c>
      <c r="AC30" s="7">
        <f t="shared" si="5"/>
        <v>0</v>
      </c>
      <c r="AD30" s="7">
        <f t="shared" si="5"/>
        <v>1</v>
      </c>
      <c r="AE30" s="7">
        <f t="shared" si="4"/>
        <v>0</v>
      </c>
      <c r="AF30" s="7">
        <f t="shared" si="4"/>
        <v>1</v>
      </c>
      <c r="AG30" s="7">
        <f t="shared" si="4"/>
        <v>1</v>
      </c>
      <c r="AH30" s="7">
        <f t="shared" si="4"/>
        <v>0</v>
      </c>
      <c r="AI30" s="7">
        <f t="shared" si="4"/>
        <v>0</v>
      </c>
      <c r="AJ30" s="7">
        <f t="shared" si="4"/>
        <v>1</v>
      </c>
      <c r="AK30" s="7">
        <f t="shared" si="4"/>
        <v>1</v>
      </c>
      <c r="AL30" s="7">
        <f t="shared" si="4"/>
        <v>0</v>
      </c>
      <c r="AM30" s="7">
        <f t="shared" si="4"/>
        <v>0</v>
      </c>
      <c r="AN30" s="7">
        <f t="shared" si="4"/>
        <v>0</v>
      </c>
      <c r="AO30" s="7">
        <f t="shared" si="4"/>
        <v>0</v>
      </c>
      <c r="AP30" s="17">
        <f t="shared" si="2"/>
        <v>2.5</v>
      </c>
      <c r="AS30" s="56"/>
      <c r="AT30" t="s">
        <v>141</v>
      </c>
    </row>
    <row r="31" spans="1:46" ht="12.75" x14ac:dyDescent="0.2">
      <c r="A31" s="7" t="s">
        <v>105</v>
      </c>
      <c r="B31" s="16" t="s">
        <v>45</v>
      </c>
      <c r="C31" s="16" t="s">
        <v>46</v>
      </c>
      <c r="D31" s="16" t="s">
        <v>47</v>
      </c>
      <c r="E31" s="16" t="s">
        <v>47</v>
      </c>
      <c r="F31" s="16" t="s">
        <v>45</v>
      </c>
      <c r="G31" s="16" t="s">
        <v>48</v>
      </c>
      <c r="H31" s="16" t="s">
        <v>46</v>
      </c>
      <c r="I31" s="16" t="s">
        <v>48</v>
      </c>
      <c r="J31" s="16" t="s">
        <v>47</v>
      </c>
      <c r="K31" s="16" t="s">
        <v>45</v>
      </c>
      <c r="L31" s="16" t="s">
        <v>48</v>
      </c>
      <c r="M31" s="16" t="s">
        <v>45</v>
      </c>
      <c r="N31" s="16" t="s">
        <v>45</v>
      </c>
      <c r="O31" s="16" t="s">
        <v>48</v>
      </c>
      <c r="P31" s="16" t="s">
        <v>45</v>
      </c>
      <c r="Q31" s="16" t="s">
        <v>46</v>
      </c>
      <c r="R31" s="16" t="s">
        <v>45</v>
      </c>
      <c r="S31" s="16" t="s">
        <v>46</v>
      </c>
      <c r="T31" s="16" t="s">
        <v>47</v>
      </c>
      <c r="U31" s="16" t="s">
        <v>45</v>
      </c>
      <c r="V31" s="7">
        <f t="shared" si="3"/>
        <v>1</v>
      </c>
      <c r="W31" s="7">
        <f t="shared" si="3"/>
        <v>0</v>
      </c>
      <c r="X31" s="7">
        <f t="shared" si="3"/>
        <v>0</v>
      </c>
      <c r="Y31" s="7">
        <f t="shared" si="3"/>
        <v>1</v>
      </c>
      <c r="Z31" s="7">
        <f t="shared" si="3"/>
        <v>0</v>
      </c>
      <c r="AA31" s="7">
        <f t="shared" si="3"/>
        <v>0</v>
      </c>
      <c r="AB31" s="7">
        <f t="shared" si="5"/>
        <v>0</v>
      </c>
      <c r="AC31" s="7">
        <f t="shared" si="5"/>
        <v>0</v>
      </c>
      <c r="AD31" s="7">
        <f t="shared" si="5"/>
        <v>0</v>
      </c>
      <c r="AE31" s="7">
        <f t="shared" si="4"/>
        <v>1</v>
      </c>
      <c r="AF31" s="7">
        <f t="shared" si="4"/>
        <v>0</v>
      </c>
      <c r="AG31" s="7">
        <f t="shared" si="4"/>
        <v>0</v>
      </c>
      <c r="AH31" s="7">
        <f t="shared" si="4"/>
        <v>1</v>
      </c>
      <c r="AI31" s="7">
        <f t="shared" si="4"/>
        <v>0</v>
      </c>
      <c r="AJ31" s="7">
        <f t="shared" si="4"/>
        <v>0</v>
      </c>
      <c r="AK31" s="7">
        <f t="shared" si="4"/>
        <v>1</v>
      </c>
      <c r="AL31" s="7">
        <f t="shared" si="4"/>
        <v>1</v>
      </c>
      <c r="AM31" s="7">
        <f t="shared" si="4"/>
        <v>0</v>
      </c>
      <c r="AN31" s="7">
        <f t="shared" si="4"/>
        <v>0</v>
      </c>
      <c r="AO31" s="7">
        <f t="shared" si="4"/>
        <v>0</v>
      </c>
      <c r="AP31" s="17">
        <f t="shared" si="2"/>
        <v>2.5</v>
      </c>
      <c r="AS31" s="56"/>
      <c r="AT31" t="s">
        <v>141</v>
      </c>
    </row>
    <row r="32" spans="1:46" ht="12.75" x14ac:dyDescent="0.2">
      <c r="A32" s="7" t="s">
        <v>106</v>
      </c>
      <c r="B32" s="16" t="s">
        <v>45</v>
      </c>
      <c r="C32" s="16" t="s">
        <v>48</v>
      </c>
      <c r="D32" s="16" t="s">
        <v>47</v>
      </c>
      <c r="E32" s="16" t="s">
        <v>47</v>
      </c>
      <c r="F32" s="16" t="s">
        <v>45</v>
      </c>
      <c r="G32" s="16" t="s">
        <v>45</v>
      </c>
      <c r="H32" s="16" t="s">
        <v>45</v>
      </c>
      <c r="I32" s="16" t="s">
        <v>48</v>
      </c>
      <c r="J32" s="16" t="s">
        <v>45</v>
      </c>
      <c r="K32" s="16" t="s">
        <v>47</v>
      </c>
      <c r="L32" s="16" t="s">
        <v>48</v>
      </c>
      <c r="M32" s="16" t="s">
        <v>46</v>
      </c>
      <c r="N32" s="16" t="s">
        <v>45</v>
      </c>
      <c r="O32" s="16" t="s">
        <v>48</v>
      </c>
      <c r="P32" s="16" t="s">
        <v>46</v>
      </c>
      <c r="Q32" s="16" t="s">
        <v>45</v>
      </c>
      <c r="R32" s="16" t="s">
        <v>47</v>
      </c>
      <c r="S32" s="16" t="s">
        <v>47</v>
      </c>
      <c r="T32" s="16" t="s">
        <v>45</v>
      </c>
      <c r="U32" s="16" t="s">
        <v>48</v>
      </c>
      <c r="V32" s="7">
        <f t="shared" si="3"/>
        <v>1</v>
      </c>
      <c r="W32" s="7">
        <f t="shared" si="3"/>
        <v>0</v>
      </c>
      <c r="X32" s="7">
        <f t="shared" si="3"/>
        <v>0</v>
      </c>
      <c r="Y32" s="7">
        <f t="shared" si="3"/>
        <v>1</v>
      </c>
      <c r="Z32" s="7">
        <f t="shared" si="3"/>
        <v>0</v>
      </c>
      <c r="AA32" s="7">
        <f t="shared" si="3"/>
        <v>1</v>
      </c>
      <c r="AB32" s="7">
        <f t="shared" si="5"/>
        <v>1</v>
      </c>
      <c r="AC32" s="7">
        <f t="shared" si="5"/>
        <v>0</v>
      </c>
      <c r="AD32" s="7">
        <f t="shared" si="5"/>
        <v>1</v>
      </c>
      <c r="AE32" s="7">
        <f t="shared" si="4"/>
        <v>0</v>
      </c>
      <c r="AF32" s="7">
        <f t="shared" si="4"/>
        <v>0</v>
      </c>
      <c r="AG32" s="7">
        <f t="shared" si="4"/>
        <v>0</v>
      </c>
      <c r="AH32" s="7">
        <f t="shared" si="4"/>
        <v>1</v>
      </c>
      <c r="AI32" s="7">
        <f t="shared" si="4"/>
        <v>0</v>
      </c>
      <c r="AJ32" s="7">
        <f t="shared" si="4"/>
        <v>0</v>
      </c>
      <c r="AK32" s="7">
        <f t="shared" si="4"/>
        <v>0</v>
      </c>
      <c r="AL32" s="7">
        <f t="shared" si="4"/>
        <v>0</v>
      </c>
      <c r="AM32" s="7">
        <f t="shared" si="4"/>
        <v>1</v>
      </c>
      <c r="AN32" s="7">
        <f t="shared" si="4"/>
        <v>0</v>
      </c>
      <c r="AO32" s="7">
        <f t="shared" si="4"/>
        <v>0</v>
      </c>
      <c r="AP32" s="17">
        <f t="shared" si="2"/>
        <v>2.75</v>
      </c>
      <c r="AS32" s="56"/>
      <c r="AT32" t="s">
        <v>141</v>
      </c>
    </row>
    <row r="33" spans="1:46" ht="12.75" x14ac:dyDescent="0.2">
      <c r="A33" s="7" t="s">
        <v>107</v>
      </c>
      <c r="B33" s="16" t="s">
        <v>47</v>
      </c>
      <c r="C33" s="16" t="s">
        <v>45</v>
      </c>
      <c r="D33" s="16" t="s">
        <v>47</v>
      </c>
      <c r="E33" s="16" t="s">
        <v>47</v>
      </c>
      <c r="F33" s="16" t="s">
        <v>47</v>
      </c>
      <c r="G33" s="16" t="s">
        <v>45</v>
      </c>
      <c r="H33" s="16" t="s">
        <v>48</v>
      </c>
      <c r="I33" s="16" t="s">
        <v>48</v>
      </c>
      <c r="J33" s="16" t="s">
        <v>45</v>
      </c>
      <c r="K33" s="16" t="s">
        <v>47</v>
      </c>
      <c r="L33" s="16" t="s">
        <v>48</v>
      </c>
      <c r="M33" s="16" t="s">
        <v>46</v>
      </c>
      <c r="N33" s="16" t="s">
        <v>48</v>
      </c>
      <c r="O33" s="16" t="s">
        <v>47</v>
      </c>
      <c r="P33" s="16" t="s">
        <v>47</v>
      </c>
      <c r="Q33" s="16" t="s">
        <v>45</v>
      </c>
      <c r="R33" s="16" t="s">
        <v>47</v>
      </c>
      <c r="S33" s="16" t="s">
        <v>47</v>
      </c>
      <c r="T33" s="16" t="s">
        <v>45</v>
      </c>
      <c r="U33" s="16" t="s">
        <v>47</v>
      </c>
      <c r="V33" s="7">
        <f t="shared" si="3"/>
        <v>0</v>
      </c>
      <c r="W33" s="7">
        <f t="shared" si="3"/>
        <v>1</v>
      </c>
      <c r="X33" s="7">
        <f t="shared" si="3"/>
        <v>0</v>
      </c>
      <c r="Y33" s="7">
        <f t="shared" si="3"/>
        <v>1</v>
      </c>
      <c r="Z33" s="7">
        <f t="shared" si="3"/>
        <v>1</v>
      </c>
      <c r="AA33" s="7">
        <f t="shared" si="3"/>
        <v>1</v>
      </c>
      <c r="AB33" s="7">
        <f t="shared" si="5"/>
        <v>0</v>
      </c>
      <c r="AC33" s="7">
        <f t="shared" si="5"/>
        <v>0</v>
      </c>
      <c r="AD33" s="7">
        <f t="shared" si="5"/>
        <v>1</v>
      </c>
      <c r="AE33" s="7">
        <f t="shared" si="4"/>
        <v>0</v>
      </c>
      <c r="AF33" s="7">
        <f t="shared" si="4"/>
        <v>0</v>
      </c>
      <c r="AG33" s="7">
        <f t="shared" si="4"/>
        <v>0</v>
      </c>
      <c r="AH33" s="7">
        <f t="shared" si="4"/>
        <v>0</v>
      </c>
      <c r="AI33" s="7">
        <f t="shared" si="4"/>
        <v>0</v>
      </c>
      <c r="AJ33" s="7">
        <f t="shared" si="4"/>
        <v>0</v>
      </c>
      <c r="AK33" s="7">
        <f t="shared" si="4"/>
        <v>0</v>
      </c>
      <c r="AL33" s="7">
        <f t="shared" si="4"/>
        <v>0</v>
      </c>
      <c r="AM33" s="7">
        <f t="shared" si="4"/>
        <v>1</v>
      </c>
      <c r="AN33" s="7">
        <f t="shared" si="4"/>
        <v>0</v>
      </c>
      <c r="AO33" s="7">
        <f t="shared" si="4"/>
        <v>0</v>
      </c>
      <c r="AP33" s="17">
        <f t="shared" si="2"/>
        <v>2.5</v>
      </c>
      <c r="AS33" s="56"/>
      <c r="AT33" t="s">
        <v>141</v>
      </c>
    </row>
    <row r="34" spans="1:46" ht="12.75" x14ac:dyDescent="0.2">
      <c r="A34" s="7" t="s">
        <v>108</v>
      </c>
      <c r="B34" s="16" t="s">
        <v>45</v>
      </c>
      <c r="C34" s="16" t="s">
        <v>47</v>
      </c>
      <c r="D34" s="16" t="s">
        <v>46</v>
      </c>
      <c r="E34" s="16" t="s">
        <v>45</v>
      </c>
      <c r="F34" s="16" t="s">
        <v>47</v>
      </c>
      <c r="G34" s="16" t="s">
        <v>47</v>
      </c>
      <c r="H34" s="16" t="s">
        <v>48</v>
      </c>
      <c r="I34" s="16" t="s">
        <v>48</v>
      </c>
      <c r="J34" s="16" t="s">
        <v>47</v>
      </c>
      <c r="K34" s="16" t="s">
        <v>46</v>
      </c>
      <c r="L34" s="16" t="s">
        <v>47</v>
      </c>
      <c r="M34" s="16" t="s">
        <v>48</v>
      </c>
      <c r="N34" s="16" t="s">
        <v>47</v>
      </c>
      <c r="O34" s="16" t="s">
        <v>48</v>
      </c>
      <c r="P34" s="16" t="s">
        <v>47</v>
      </c>
      <c r="Q34" s="16" t="s">
        <v>46</v>
      </c>
      <c r="R34" s="16" t="s">
        <v>45</v>
      </c>
      <c r="S34" s="16" t="s">
        <v>45</v>
      </c>
      <c r="T34" s="16" t="s">
        <v>45</v>
      </c>
      <c r="U34" s="16" t="s">
        <v>46</v>
      </c>
      <c r="V34" s="7">
        <f t="shared" si="3"/>
        <v>1</v>
      </c>
      <c r="W34" s="7">
        <f t="shared" si="3"/>
        <v>0</v>
      </c>
      <c r="X34" s="7">
        <f t="shared" si="3"/>
        <v>1</v>
      </c>
      <c r="Y34" s="7">
        <f t="shared" si="3"/>
        <v>0</v>
      </c>
      <c r="Z34" s="7">
        <f t="shared" si="3"/>
        <v>1</v>
      </c>
      <c r="AA34" s="7">
        <f t="shared" si="3"/>
        <v>0</v>
      </c>
      <c r="AB34" s="7">
        <f t="shared" si="5"/>
        <v>0</v>
      </c>
      <c r="AC34" s="7">
        <f t="shared" si="5"/>
        <v>0</v>
      </c>
      <c r="AD34" s="7">
        <f t="shared" si="5"/>
        <v>0</v>
      </c>
      <c r="AE34" s="7">
        <f t="shared" si="4"/>
        <v>0</v>
      </c>
      <c r="AF34" s="7">
        <f t="shared" si="4"/>
        <v>0</v>
      </c>
      <c r="AG34" s="7">
        <f t="shared" si="4"/>
        <v>1</v>
      </c>
      <c r="AH34" s="7">
        <f t="shared" si="4"/>
        <v>0</v>
      </c>
      <c r="AI34" s="7">
        <f t="shared" si="4"/>
        <v>0</v>
      </c>
      <c r="AJ34" s="7">
        <f t="shared" si="4"/>
        <v>0</v>
      </c>
      <c r="AK34" s="7">
        <f t="shared" si="4"/>
        <v>1</v>
      </c>
      <c r="AL34" s="7">
        <f t="shared" si="4"/>
        <v>1</v>
      </c>
      <c r="AM34" s="7">
        <f t="shared" si="4"/>
        <v>0</v>
      </c>
      <c r="AN34" s="7">
        <f t="shared" si="4"/>
        <v>0</v>
      </c>
      <c r="AO34" s="7">
        <f t="shared" si="4"/>
        <v>1</v>
      </c>
      <c r="AP34" s="17">
        <f t="shared" si="2"/>
        <v>2.75</v>
      </c>
      <c r="AS34" s="56"/>
      <c r="AT34" t="s">
        <v>141</v>
      </c>
    </row>
    <row r="35" spans="1:46" ht="13.5" thickBot="1" x14ac:dyDescent="0.25">
      <c r="A35" s="7" t="s">
        <v>143</v>
      </c>
      <c r="B35" s="16" t="s">
        <v>47</v>
      </c>
      <c r="C35" s="16" t="s">
        <v>46</v>
      </c>
      <c r="D35" s="16" t="s">
        <v>46</v>
      </c>
      <c r="E35" s="16" t="s">
        <v>48</v>
      </c>
      <c r="F35" s="16" t="s">
        <v>45</v>
      </c>
      <c r="G35" s="16" t="s">
        <v>47</v>
      </c>
      <c r="H35" s="16" t="s">
        <v>46</v>
      </c>
      <c r="I35" s="16" t="s">
        <v>46</v>
      </c>
      <c r="J35" s="16" t="s">
        <v>47</v>
      </c>
      <c r="K35" s="16" t="s">
        <v>45</v>
      </c>
      <c r="L35" s="16" t="s">
        <v>47</v>
      </c>
      <c r="M35" s="16" t="s">
        <v>48</v>
      </c>
      <c r="N35" s="16" t="s">
        <v>48</v>
      </c>
      <c r="O35" s="16" t="s">
        <v>47</v>
      </c>
      <c r="P35" s="16" t="s">
        <v>46</v>
      </c>
      <c r="Q35" s="16" t="s">
        <v>47</v>
      </c>
      <c r="R35" s="16" t="s">
        <v>46</v>
      </c>
      <c r="S35" s="16" t="s">
        <v>48</v>
      </c>
      <c r="T35" s="16" t="s">
        <v>46</v>
      </c>
      <c r="U35" s="16" t="s">
        <v>45</v>
      </c>
      <c r="V35" s="7">
        <f t="shared" si="3"/>
        <v>0</v>
      </c>
      <c r="W35" s="7">
        <f t="shared" si="3"/>
        <v>0</v>
      </c>
      <c r="X35" s="7">
        <f t="shared" si="3"/>
        <v>1</v>
      </c>
      <c r="Y35" s="7">
        <f t="shared" si="3"/>
        <v>0</v>
      </c>
      <c r="Z35" s="7">
        <f t="shared" si="3"/>
        <v>0</v>
      </c>
      <c r="AA35" s="7">
        <f t="shared" si="3"/>
        <v>0</v>
      </c>
      <c r="AB35" s="7">
        <f t="shared" si="5"/>
        <v>0</v>
      </c>
      <c r="AC35" s="7">
        <f t="shared" si="5"/>
        <v>0</v>
      </c>
      <c r="AD35" s="7">
        <f t="shared" si="5"/>
        <v>0</v>
      </c>
      <c r="AE35" s="7">
        <f t="shared" si="4"/>
        <v>1</v>
      </c>
      <c r="AF35" s="7">
        <f t="shared" si="4"/>
        <v>0</v>
      </c>
      <c r="AG35" s="7">
        <f t="shared" si="4"/>
        <v>1</v>
      </c>
      <c r="AH35" s="7">
        <f t="shared" si="4"/>
        <v>0</v>
      </c>
      <c r="AI35" s="7">
        <f t="shared" si="4"/>
        <v>0</v>
      </c>
      <c r="AJ35" s="7">
        <f t="shared" si="4"/>
        <v>0</v>
      </c>
      <c r="AK35" s="7">
        <f t="shared" si="4"/>
        <v>0</v>
      </c>
      <c r="AL35" s="7">
        <f t="shared" si="4"/>
        <v>0</v>
      </c>
      <c r="AM35" s="7">
        <f t="shared" si="4"/>
        <v>0</v>
      </c>
      <c r="AN35" s="7">
        <f t="shared" si="4"/>
        <v>0</v>
      </c>
      <c r="AO35" s="7">
        <f t="shared" si="4"/>
        <v>0</v>
      </c>
      <c r="AP35" s="17">
        <f t="shared" si="2"/>
        <v>1.75</v>
      </c>
      <c r="AS35" s="57"/>
      <c r="AT35" t="s">
        <v>141</v>
      </c>
    </row>
    <row r="36" spans="1:46" ht="15.75" customHeight="1" thickBot="1" x14ac:dyDescent="0.2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18">
        <f t="shared" ref="V36:AO36" si="6">SUM(V4:V35)</f>
        <v>19</v>
      </c>
      <c r="W36" s="18">
        <f t="shared" si="6"/>
        <v>6</v>
      </c>
      <c r="X36" s="18">
        <f t="shared" si="6"/>
        <v>10</v>
      </c>
      <c r="Y36" s="18">
        <f t="shared" si="6"/>
        <v>9</v>
      </c>
      <c r="Z36" s="18">
        <f t="shared" si="6"/>
        <v>15</v>
      </c>
      <c r="AA36" s="18">
        <f t="shared" si="6"/>
        <v>15</v>
      </c>
      <c r="AB36" s="18">
        <f t="shared" si="6"/>
        <v>5</v>
      </c>
      <c r="AC36" s="18">
        <f t="shared" si="6"/>
        <v>5</v>
      </c>
      <c r="AD36" s="18">
        <f t="shared" si="6"/>
        <v>13</v>
      </c>
      <c r="AE36" s="18">
        <f t="shared" si="6"/>
        <v>6</v>
      </c>
      <c r="AF36" s="18">
        <f t="shared" si="6"/>
        <v>7</v>
      </c>
      <c r="AG36" s="18">
        <f t="shared" si="6"/>
        <v>6</v>
      </c>
      <c r="AH36" s="18">
        <f t="shared" si="6"/>
        <v>9</v>
      </c>
      <c r="AI36" s="18">
        <f t="shared" si="6"/>
        <v>2</v>
      </c>
      <c r="AJ36" s="18">
        <f t="shared" si="6"/>
        <v>4</v>
      </c>
      <c r="AK36" s="18">
        <f t="shared" si="6"/>
        <v>7</v>
      </c>
      <c r="AL36" s="18">
        <f t="shared" si="6"/>
        <v>4</v>
      </c>
      <c r="AM36" s="18">
        <f t="shared" si="6"/>
        <v>15</v>
      </c>
      <c r="AN36" s="18">
        <f t="shared" si="6"/>
        <v>2</v>
      </c>
      <c r="AO36" s="18">
        <f t="shared" si="6"/>
        <v>5</v>
      </c>
      <c r="AP36" s="48">
        <f>AVERAGE(AP4:AP35)</f>
        <v>2.28125</v>
      </c>
      <c r="AQ36" s="53" t="s">
        <v>177</v>
      </c>
      <c r="AR36" s="54"/>
    </row>
    <row r="50" spans="23:23" ht="12.75" x14ac:dyDescent="0.2">
      <c r="W50" s="1"/>
    </row>
  </sheetData>
  <mergeCells count="3">
    <mergeCell ref="AS24:AS35"/>
    <mergeCell ref="A36:U36"/>
    <mergeCell ref="AQ36:AR36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39FF-E32D-4113-9F6C-5AAEB509FA5D}">
  <sheetPr>
    <outlinePr summaryBelow="0" summaryRight="0"/>
  </sheetPr>
  <dimension ref="A1:AT50"/>
  <sheetViews>
    <sheetView zoomScale="70" zoomScaleNormal="70" workbookViewId="0">
      <pane ySplit="3" topLeftCell="A6" activePane="bottomLeft" state="frozen"/>
      <selection pane="bottomLeft" activeCell="AQ26" sqref="AQ26"/>
    </sheetView>
  </sheetViews>
  <sheetFormatPr baseColWidth="10" defaultColWidth="12.5703125" defaultRowHeight="15.75" customHeight="1" x14ac:dyDescent="0.2"/>
  <cols>
    <col min="1" max="1" width="26.85546875" customWidth="1"/>
    <col min="2" max="21" width="3.5703125" customWidth="1"/>
    <col min="22" max="41" width="5.42578125" customWidth="1"/>
    <col min="42" max="42" width="8" bestFit="1" customWidth="1"/>
    <col min="43" max="43" width="9.28515625" bestFit="1" customWidth="1"/>
    <col min="45" max="45" width="10" customWidth="1"/>
  </cols>
  <sheetData>
    <row r="1" spans="1:46" ht="15.75" customHeight="1" x14ac:dyDescent="0.2">
      <c r="A1" s="47" t="s">
        <v>176</v>
      </c>
      <c r="B1" s="27">
        <v>3</v>
      </c>
      <c r="C1" s="27">
        <v>2</v>
      </c>
      <c r="D1" s="27">
        <v>2</v>
      </c>
      <c r="E1" s="27">
        <v>2</v>
      </c>
      <c r="F1" s="27">
        <v>2</v>
      </c>
      <c r="G1" s="27">
        <v>1</v>
      </c>
      <c r="H1" s="27">
        <v>1</v>
      </c>
      <c r="I1" s="27">
        <v>1</v>
      </c>
      <c r="J1" s="27">
        <v>1</v>
      </c>
      <c r="K1" s="27">
        <v>2</v>
      </c>
      <c r="L1" s="27">
        <v>3</v>
      </c>
      <c r="M1" s="27">
        <v>3</v>
      </c>
      <c r="N1" s="27">
        <v>2</v>
      </c>
      <c r="O1" s="27">
        <v>2</v>
      </c>
      <c r="P1" s="27">
        <v>1</v>
      </c>
      <c r="Q1" s="27">
        <v>1</v>
      </c>
      <c r="R1" s="27">
        <v>2</v>
      </c>
      <c r="S1" s="27">
        <v>1</v>
      </c>
      <c r="T1" s="27">
        <v>1</v>
      </c>
      <c r="U1" s="27">
        <v>1</v>
      </c>
    </row>
    <row r="2" spans="1:46" ht="15.75" customHeight="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 spans="1:46" ht="12.75" x14ac:dyDescent="0.2">
      <c r="A3" s="14" t="s">
        <v>41</v>
      </c>
      <c r="B3" s="5" t="s">
        <v>45</v>
      </c>
      <c r="C3" s="5" t="s">
        <v>45</v>
      </c>
      <c r="D3" s="5" t="s">
        <v>46</v>
      </c>
      <c r="E3" s="20" t="s">
        <v>47</v>
      </c>
      <c r="F3" s="5" t="s">
        <v>47</v>
      </c>
      <c r="G3" s="5" t="s">
        <v>45</v>
      </c>
      <c r="H3" s="5" t="s">
        <v>47</v>
      </c>
      <c r="I3" s="5" t="s">
        <v>45</v>
      </c>
      <c r="J3" s="5" t="s">
        <v>45</v>
      </c>
      <c r="K3" s="5" t="s">
        <v>45</v>
      </c>
      <c r="L3" s="5" t="s">
        <v>48</v>
      </c>
      <c r="M3" s="5" t="s">
        <v>45</v>
      </c>
      <c r="N3" s="20" t="s">
        <v>45</v>
      </c>
      <c r="O3" s="5" t="s">
        <v>48</v>
      </c>
      <c r="P3" s="5" t="s">
        <v>46</v>
      </c>
      <c r="Q3" s="5" t="s">
        <v>45</v>
      </c>
      <c r="R3" s="5" t="s">
        <v>47</v>
      </c>
      <c r="S3" s="5" t="s">
        <v>48</v>
      </c>
      <c r="T3" s="5" t="s">
        <v>46</v>
      </c>
      <c r="U3" s="19" t="s">
        <v>47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15" t="s">
        <v>15</v>
      </c>
      <c r="AQ3" s="4" t="s">
        <v>36</v>
      </c>
      <c r="AR3" s="5" t="s">
        <v>37</v>
      </c>
      <c r="AS3" s="6" t="s">
        <v>38</v>
      </c>
      <c r="AT3" t="s">
        <v>39</v>
      </c>
    </row>
    <row r="4" spans="1:46" ht="27.75" customHeight="1" x14ac:dyDescent="0.2">
      <c r="A4" s="7" t="s">
        <v>78</v>
      </c>
      <c r="B4" s="16" t="s">
        <v>47</v>
      </c>
      <c r="C4" s="16" t="s">
        <v>46</v>
      </c>
      <c r="D4" s="16" t="s">
        <v>48</v>
      </c>
      <c r="E4" s="16" t="s">
        <v>45</v>
      </c>
      <c r="F4" s="16" t="s">
        <v>45</v>
      </c>
      <c r="G4" s="16" t="s">
        <v>48</v>
      </c>
      <c r="H4" s="16" t="s">
        <v>46</v>
      </c>
      <c r="I4" s="16" t="s">
        <v>48</v>
      </c>
      <c r="J4" s="16" t="s">
        <v>48</v>
      </c>
      <c r="K4" s="16" t="s">
        <v>47</v>
      </c>
      <c r="L4" s="16" t="s">
        <v>46</v>
      </c>
      <c r="M4" s="16" t="s">
        <v>48</v>
      </c>
      <c r="N4" s="16" t="s">
        <v>46</v>
      </c>
      <c r="O4" s="16" t="s">
        <v>48</v>
      </c>
      <c r="P4" s="16" t="s">
        <v>46</v>
      </c>
      <c r="Q4" s="16" t="s">
        <v>45</v>
      </c>
      <c r="R4" s="16" t="s">
        <v>47</v>
      </c>
      <c r="S4" s="16" t="s">
        <v>46</v>
      </c>
      <c r="T4" s="16" t="s">
        <v>45</v>
      </c>
      <c r="U4" s="16" t="s">
        <v>46</v>
      </c>
      <c r="V4" s="7">
        <f t="shared" ref="V4:AA19" si="0">IF(B4=B$3,1,0)</f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ref="AB4:AO22" si="1">IF(H4=G$3,1,0)</f>
        <v>0</v>
      </c>
      <c r="AC4" s="7">
        <f t="shared" si="1"/>
        <v>0</v>
      </c>
      <c r="AD4" s="7">
        <f t="shared" si="1"/>
        <v>0</v>
      </c>
      <c r="AE4" s="7">
        <f t="shared" si="1"/>
        <v>0</v>
      </c>
      <c r="AF4" s="7">
        <f t="shared" si="1"/>
        <v>0</v>
      </c>
      <c r="AG4" s="7">
        <f t="shared" si="1"/>
        <v>1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1</v>
      </c>
      <c r="AP4" s="17">
        <f>IFERROR(SUM(V4:AO4)/COUNTA(B4:U4)*5+1,"")</f>
        <v>1.5</v>
      </c>
      <c r="AQ4" s="27" cm="1">
        <f t="array" ref="AQ4:AQ23">TRANSPOSE(B1:U1)</f>
        <v>3</v>
      </c>
      <c r="AR4" s="7" t="s">
        <v>16</v>
      </c>
      <c r="AS4" s="30" cm="1">
        <f t="array" ref="AS4:AS23">TRANSPOSE(V36:AO36)</f>
        <v>19</v>
      </c>
      <c r="AT4" t="s">
        <v>142</v>
      </c>
    </row>
    <row r="5" spans="1:46" ht="12.75" x14ac:dyDescent="0.2">
      <c r="A5" s="7" t="s">
        <v>79</v>
      </c>
      <c r="B5" s="16" t="s">
        <v>45</v>
      </c>
      <c r="C5" s="16" t="s">
        <v>48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48</v>
      </c>
      <c r="I5" s="16" t="s">
        <v>46</v>
      </c>
      <c r="J5" s="16" t="s">
        <v>45</v>
      </c>
      <c r="K5" s="16" t="s">
        <v>47</v>
      </c>
      <c r="L5" s="16" t="s">
        <v>47</v>
      </c>
      <c r="M5" s="16" t="s">
        <v>47</v>
      </c>
      <c r="N5" s="16" t="s">
        <v>45</v>
      </c>
      <c r="O5" s="16" t="s">
        <v>48</v>
      </c>
      <c r="P5" s="16" t="s">
        <v>46</v>
      </c>
      <c r="Q5" s="16" t="s">
        <v>45</v>
      </c>
      <c r="R5" s="16" t="s">
        <v>47</v>
      </c>
      <c r="S5" s="16" t="s">
        <v>46</v>
      </c>
      <c r="T5" s="16" t="s">
        <v>46</v>
      </c>
      <c r="U5" s="16" t="s">
        <v>48</v>
      </c>
      <c r="V5" s="7">
        <f t="shared" si="0"/>
        <v>1</v>
      </c>
      <c r="W5" s="7">
        <f t="shared" si="0"/>
        <v>0</v>
      </c>
      <c r="X5" s="7">
        <f t="shared" si="0"/>
        <v>0</v>
      </c>
      <c r="Y5" s="7">
        <f t="shared" si="0"/>
        <v>0</v>
      </c>
      <c r="Z5" s="7">
        <f t="shared" si="0"/>
        <v>1</v>
      </c>
      <c r="AA5" s="7">
        <f t="shared" si="0"/>
        <v>0</v>
      </c>
      <c r="AB5" s="7">
        <f t="shared" si="1"/>
        <v>0</v>
      </c>
      <c r="AC5" s="7">
        <f t="shared" si="1"/>
        <v>0</v>
      </c>
      <c r="AD5" s="7">
        <f t="shared" si="1"/>
        <v>1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1</v>
      </c>
      <c r="AI5" s="7">
        <f t="shared" si="1"/>
        <v>0</v>
      </c>
      <c r="AJ5" s="7">
        <f t="shared" si="1"/>
        <v>0</v>
      </c>
      <c r="AK5" s="7">
        <f t="shared" si="1"/>
        <v>0</v>
      </c>
      <c r="AL5" s="7">
        <f t="shared" si="1"/>
        <v>0</v>
      </c>
      <c r="AM5" s="7">
        <f t="shared" si="1"/>
        <v>0</v>
      </c>
      <c r="AN5" s="7">
        <f t="shared" si="1"/>
        <v>0</v>
      </c>
      <c r="AO5" s="7">
        <f t="shared" si="1"/>
        <v>0</v>
      </c>
      <c r="AP5" s="17">
        <f t="shared" ref="AP5:AP35" si="2">IFERROR(SUM(V5:AO5)/COUNTA(B5:U5)*5+1,"")</f>
        <v>2</v>
      </c>
      <c r="AQ5">
        <v>2</v>
      </c>
      <c r="AR5" s="7" t="s">
        <v>17</v>
      </c>
      <c r="AS5" s="30">
        <v>6</v>
      </c>
      <c r="AT5" t="s">
        <v>142</v>
      </c>
    </row>
    <row r="6" spans="1:46" ht="12.75" x14ac:dyDescent="0.2">
      <c r="A6" s="7" t="s">
        <v>80</v>
      </c>
      <c r="B6" s="16" t="s">
        <v>47</v>
      </c>
      <c r="C6" s="16" t="s">
        <v>46</v>
      </c>
      <c r="D6" s="16" t="s">
        <v>46</v>
      </c>
      <c r="E6" s="16" t="s">
        <v>48</v>
      </c>
      <c r="F6" s="16" t="s">
        <v>45</v>
      </c>
      <c r="G6" s="16" t="s">
        <v>47</v>
      </c>
      <c r="H6" s="16" t="s">
        <v>46</v>
      </c>
      <c r="I6" s="16" t="s">
        <v>46</v>
      </c>
      <c r="J6" s="16" t="s">
        <v>48</v>
      </c>
      <c r="K6" s="16" t="s">
        <v>46</v>
      </c>
      <c r="L6" s="16" t="s">
        <v>47</v>
      </c>
      <c r="M6" s="16" t="s">
        <v>46</v>
      </c>
      <c r="N6" s="16" t="s">
        <v>47</v>
      </c>
      <c r="O6" s="16" t="s">
        <v>47</v>
      </c>
      <c r="P6" s="16" t="s">
        <v>46</v>
      </c>
      <c r="Q6" s="16" t="s">
        <v>46</v>
      </c>
      <c r="R6" s="16" t="s">
        <v>47</v>
      </c>
      <c r="S6" s="16" t="s">
        <v>46</v>
      </c>
      <c r="T6" s="16" t="s">
        <v>46</v>
      </c>
      <c r="U6" s="16" t="s">
        <v>46</v>
      </c>
      <c r="V6" s="7">
        <f t="shared" si="0"/>
        <v>0</v>
      </c>
      <c r="W6" s="7">
        <f t="shared" si="0"/>
        <v>0</v>
      </c>
      <c r="X6" s="7">
        <f t="shared" si="0"/>
        <v>1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 t="shared" si="1"/>
        <v>0</v>
      </c>
      <c r="AH6" s="7">
        <f t="shared" si="1"/>
        <v>0</v>
      </c>
      <c r="AI6" s="7">
        <f t="shared" si="1"/>
        <v>0</v>
      </c>
      <c r="AJ6" s="7">
        <f t="shared" si="1"/>
        <v>0</v>
      </c>
      <c r="AK6" s="7">
        <f t="shared" si="1"/>
        <v>1</v>
      </c>
      <c r="AL6" s="7">
        <f t="shared" si="1"/>
        <v>0</v>
      </c>
      <c r="AM6" s="7">
        <f t="shared" si="1"/>
        <v>0</v>
      </c>
      <c r="AN6" s="7">
        <f t="shared" si="1"/>
        <v>0</v>
      </c>
      <c r="AO6" s="7">
        <f t="shared" si="1"/>
        <v>1</v>
      </c>
      <c r="AP6" s="17">
        <f t="shared" si="2"/>
        <v>1.75</v>
      </c>
      <c r="AQ6" s="28">
        <v>2</v>
      </c>
      <c r="AR6" s="29" t="s">
        <v>18</v>
      </c>
      <c r="AS6" s="30">
        <v>10</v>
      </c>
      <c r="AT6" t="s">
        <v>142</v>
      </c>
    </row>
    <row r="7" spans="1:46" ht="12.75" x14ac:dyDescent="0.2">
      <c r="A7" s="7" t="s">
        <v>81</v>
      </c>
      <c r="B7" s="16" t="s">
        <v>48</v>
      </c>
      <c r="C7" s="16" t="s">
        <v>46</v>
      </c>
      <c r="D7" s="16" t="s">
        <v>45</v>
      </c>
      <c r="E7" s="16" t="s">
        <v>46</v>
      </c>
      <c r="F7" s="16" t="s">
        <v>45</v>
      </c>
      <c r="G7" s="16" t="s">
        <v>47</v>
      </c>
      <c r="H7" s="16" t="s">
        <v>47</v>
      </c>
      <c r="I7" s="16" t="s">
        <v>48</v>
      </c>
      <c r="J7" s="16" t="s">
        <v>47</v>
      </c>
      <c r="K7" s="16" t="s">
        <v>47</v>
      </c>
      <c r="L7" s="16" t="s">
        <v>45</v>
      </c>
      <c r="M7" s="16" t="s">
        <v>47</v>
      </c>
      <c r="N7" s="16" t="s">
        <v>45</v>
      </c>
      <c r="O7" s="16" t="s">
        <v>48</v>
      </c>
      <c r="P7" s="16" t="s">
        <v>45</v>
      </c>
      <c r="Q7" s="16" t="s">
        <v>47</v>
      </c>
      <c r="R7" s="16" t="s">
        <v>47</v>
      </c>
      <c r="S7" s="16" t="s">
        <v>45</v>
      </c>
      <c r="T7" s="16" t="s">
        <v>46</v>
      </c>
      <c r="U7" s="16" t="s">
        <v>48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1"/>
        <v>0</v>
      </c>
      <c r="AC7" s="7">
        <f t="shared" si="1"/>
        <v>0</v>
      </c>
      <c r="AD7" s="7">
        <f t="shared" si="1"/>
        <v>0</v>
      </c>
      <c r="AE7" s="7">
        <f t="shared" si="1"/>
        <v>0</v>
      </c>
      <c r="AF7" s="7">
        <f t="shared" si="1"/>
        <v>1</v>
      </c>
      <c r="AG7" s="7">
        <f t="shared" si="1"/>
        <v>0</v>
      </c>
      <c r="AH7" s="7">
        <f t="shared" si="1"/>
        <v>1</v>
      </c>
      <c r="AI7" s="7">
        <f t="shared" si="1"/>
        <v>0</v>
      </c>
      <c r="AJ7" s="7">
        <f t="shared" si="1"/>
        <v>0</v>
      </c>
      <c r="AK7" s="7">
        <f t="shared" si="1"/>
        <v>0</v>
      </c>
      <c r="AL7" s="7">
        <f t="shared" si="1"/>
        <v>0</v>
      </c>
      <c r="AM7" s="7">
        <f t="shared" si="1"/>
        <v>0</v>
      </c>
      <c r="AN7" s="7">
        <f t="shared" si="1"/>
        <v>0</v>
      </c>
      <c r="AO7" s="7">
        <f t="shared" si="1"/>
        <v>0</v>
      </c>
      <c r="AP7" s="17">
        <f t="shared" si="2"/>
        <v>1.5</v>
      </c>
      <c r="AQ7" s="27">
        <v>2</v>
      </c>
      <c r="AR7" s="7" t="s">
        <v>19</v>
      </c>
      <c r="AS7" s="30">
        <v>9</v>
      </c>
      <c r="AT7" t="s">
        <v>142</v>
      </c>
    </row>
    <row r="8" spans="1:46" ht="12.75" x14ac:dyDescent="0.2">
      <c r="A8" s="7" t="s">
        <v>82</v>
      </c>
      <c r="B8" s="16" t="s">
        <v>45</v>
      </c>
      <c r="C8" s="16" t="s">
        <v>45</v>
      </c>
      <c r="D8" s="16" t="s">
        <v>48</v>
      </c>
      <c r="E8" s="16" t="s">
        <v>45</v>
      </c>
      <c r="F8" s="16" t="s">
        <v>45</v>
      </c>
      <c r="G8" s="16" t="s">
        <v>45</v>
      </c>
      <c r="H8" s="16" t="s">
        <v>47</v>
      </c>
      <c r="I8" s="16" t="s">
        <v>48</v>
      </c>
      <c r="J8" s="16" t="s">
        <v>47</v>
      </c>
      <c r="K8" s="16" t="s">
        <v>47</v>
      </c>
      <c r="L8" s="16" t="s">
        <v>47</v>
      </c>
      <c r="M8" s="16" t="s">
        <v>45</v>
      </c>
      <c r="N8" s="16" t="s">
        <v>47</v>
      </c>
      <c r="O8" s="16" t="s">
        <v>48</v>
      </c>
      <c r="P8" s="16" t="s">
        <v>46</v>
      </c>
      <c r="Q8" s="16" t="s">
        <v>45</v>
      </c>
      <c r="R8" s="16" t="s">
        <v>47</v>
      </c>
      <c r="S8" s="16" t="s">
        <v>47</v>
      </c>
      <c r="T8" s="16" t="s">
        <v>46</v>
      </c>
      <c r="U8" s="16" t="s">
        <v>48</v>
      </c>
      <c r="V8" s="7">
        <f t="shared" si="0"/>
        <v>1</v>
      </c>
      <c r="W8" s="7">
        <f t="shared" si="0"/>
        <v>1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1</v>
      </c>
      <c r="AB8" s="7">
        <f t="shared" si="1"/>
        <v>0</v>
      </c>
      <c r="AC8" s="7">
        <f t="shared" si="1"/>
        <v>0</v>
      </c>
      <c r="AD8" s="7">
        <f t="shared" si="1"/>
        <v>0</v>
      </c>
      <c r="AE8" s="7">
        <f t="shared" si="1"/>
        <v>0</v>
      </c>
      <c r="AF8" s="7">
        <f t="shared" si="1"/>
        <v>0</v>
      </c>
      <c r="AG8" s="7">
        <f t="shared" si="1"/>
        <v>0</v>
      </c>
      <c r="AH8" s="7">
        <f t="shared" si="1"/>
        <v>0</v>
      </c>
      <c r="AI8" s="7">
        <f t="shared" si="1"/>
        <v>0</v>
      </c>
      <c r="AJ8" s="7">
        <f t="shared" si="1"/>
        <v>0</v>
      </c>
      <c r="AK8" s="7">
        <f t="shared" si="1"/>
        <v>0</v>
      </c>
      <c r="AL8" s="7">
        <f t="shared" si="1"/>
        <v>0</v>
      </c>
      <c r="AM8" s="7">
        <f t="shared" si="1"/>
        <v>1</v>
      </c>
      <c r="AN8" s="7">
        <f t="shared" si="1"/>
        <v>0</v>
      </c>
      <c r="AO8" s="7">
        <f t="shared" si="1"/>
        <v>0</v>
      </c>
      <c r="AP8" s="17">
        <f t="shared" si="2"/>
        <v>2</v>
      </c>
      <c r="AQ8" s="27">
        <v>2</v>
      </c>
      <c r="AR8" s="7" t="s">
        <v>20</v>
      </c>
      <c r="AS8" s="30">
        <v>15</v>
      </c>
      <c r="AT8" t="s">
        <v>142</v>
      </c>
    </row>
    <row r="9" spans="1:46" ht="12.75" x14ac:dyDescent="0.2">
      <c r="A9" s="7" t="s">
        <v>83</v>
      </c>
      <c r="B9" s="16" t="s">
        <v>47</v>
      </c>
      <c r="C9" s="16" t="s">
        <v>48</v>
      </c>
      <c r="D9" s="16" t="s">
        <v>46</v>
      </c>
      <c r="E9" s="16" t="s">
        <v>45</v>
      </c>
      <c r="F9" s="16" t="s">
        <v>45</v>
      </c>
      <c r="G9" s="16" t="s">
        <v>45</v>
      </c>
      <c r="H9" s="16" t="s">
        <v>46</v>
      </c>
      <c r="I9" s="16" t="s">
        <v>48</v>
      </c>
      <c r="J9" s="16" t="s">
        <v>47</v>
      </c>
      <c r="K9" s="16" t="s">
        <v>47</v>
      </c>
      <c r="L9" s="16" t="s">
        <v>46</v>
      </c>
      <c r="M9" s="16" t="s">
        <v>45</v>
      </c>
      <c r="N9" s="16" t="s">
        <v>47</v>
      </c>
      <c r="O9" s="16" t="s">
        <v>48</v>
      </c>
      <c r="P9" s="16" t="s">
        <v>47</v>
      </c>
      <c r="Q9" s="16" t="s">
        <v>45</v>
      </c>
      <c r="R9" s="16" t="s">
        <v>47</v>
      </c>
      <c r="S9" s="16" t="s">
        <v>47</v>
      </c>
      <c r="T9" s="16" t="s">
        <v>46</v>
      </c>
      <c r="U9" s="16" t="s">
        <v>48</v>
      </c>
      <c r="V9" s="7">
        <f t="shared" si="0"/>
        <v>0</v>
      </c>
      <c r="W9" s="7">
        <f t="shared" si="0"/>
        <v>0</v>
      </c>
      <c r="X9" s="7">
        <f t="shared" si="0"/>
        <v>1</v>
      </c>
      <c r="Y9" s="7">
        <f t="shared" si="0"/>
        <v>0</v>
      </c>
      <c r="Z9" s="7">
        <f t="shared" si="0"/>
        <v>0</v>
      </c>
      <c r="AA9" s="7">
        <f t="shared" si="0"/>
        <v>1</v>
      </c>
      <c r="AB9" s="7">
        <f t="shared" si="1"/>
        <v>0</v>
      </c>
      <c r="AC9" s="7">
        <f t="shared" si="1"/>
        <v>0</v>
      </c>
      <c r="AD9" s="7">
        <f t="shared" si="1"/>
        <v>0</v>
      </c>
      <c r="AE9" s="7">
        <f t="shared" si="1"/>
        <v>0</v>
      </c>
      <c r="AF9" s="7">
        <f t="shared" si="1"/>
        <v>0</v>
      </c>
      <c r="AG9" s="7">
        <f t="shared" si="1"/>
        <v>0</v>
      </c>
      <c r="AH9" s="7">
        <f t="shared" si="1"/>
        <v>0</v>
      </c>
      <c r="AI9" s="7">
        <f t="shared" si="1"/>
        <v>0</v>
      </c>
      <c r="AJ9" s="7">
        <f t="shared" si="1"/>
        <v>0</v>
      </c>
      <c r="AK9" s="7">
        <f t="shared" si="1"/>
        <v>0</v>
      </c>
      <c r="AL9" s="7">
        <f t="shared" si="1"/>
        <v>0</v>
      </c>
      <c r="AM9" s="7">
        <f t="shared" si="1"/>
        <v>1</v>
      </c>
      <c r="AN9" s="7">
        <f t="shared" si="1"/>
        <v>0</v>
      </c>
      <c r="AO9" s="7">
        <f t="shared" si="1"/>
        <v>0</v>
      </c>
      <c r="AP9" s="17">
        <f t="shared" si="2"/>
        <v>1.75</v>
      </c>
      <c r="AQ9" s="27">
        <v>1</v>
      </c>
      <c r="AR9" s="7" t="s">
        <v>21</v>
      </c>
      <c r="AS9" s="30">
        <v>15</v>
      </c>
      <c r="AT9" t="s">
        <v>142</v>
      </c>
    </row>
    <row r="10" spans="1:46" ht="12.75" x14ac:dyDescent="0.2">
      <c r="A10" s="7" t="s">
        <v>84</v>
      </c>
      <c r="B10" s="16" t="s">
        <v>45</v>
      </c>
      <c r="C10" s="16" t="s">
        <v>47</v>
      </c>
      <c r="D10" s="16" t="s">
        <v>47</v>
      </c>
      <c r="E10" s="16" t="s">
        <v>48</v>
      </c>
      <c r="F10" s="16" t="s">
        <v>47</v>
      </c>
      <c r="G10" s="16" t="s">
        <v>47</v>
      </c>
      <c r="H10" s="16" t="s">
        <v>46</v>
      </c>
      <c r="I10" s="16" t="s">
        <v>48</v>
      </c>
      <c r="J10" s="16" t="s">
        <v>48</v>
      </c>
      <c r="K10" s="16" t="s">
        <v>45</v>
      </c>
      <c r="L10" s="16" t="s">
        <v>45</v>
      </c>
      <c r="M10" s="16" t="s">
        <v>45</v>
      </c>
      <c r="N10" s="16" t="s">
        <v>47</v>
      </c>
      <c r="O10" s="16" t="s">
        <v>48</v>
      </c>
      <c r="P10" s="16" t="s">
        <v>45</v>
      </c>
      <c r="Q10" s="16" t="s">
        <v>46</v>
      </c>
      <c r="R10" s="16" t="s">
        <v>45</v>
      </c>
      <c r="S10" s="16" t="s">
        <v>47</v>
      </c>
      <c r="T10" s="16" t="s">
        <v>46</v>
      </c>
      <c r="U10" s="16" t="s">
        <v>45</v>
      </c>
      <c r="V10" s="7">
        <f t="shared" si="0"/>
        <v>1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1</v>
      </c>
      <c r="AA10" s="7">
        <f t="shared" si="0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1</v>
      </c>
      <c r="AF10" s="7">
        <f t="shared" si="1"/>
        <v>1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1</v>
      </c>
      <c r="AL10" s="7">
        <f t="shared" si="1"/>
        <v>1</v>
      </c>
      <c r="AM10" s="7">
        <f t="shared" si="1"/>
        <v>1</v>
      </c>
      <c r="AN10" s="7">
        <f t="shared" si="1"/>
        <v>0</v>
      </c>
      <c r="AO10" s="7">
        <f t="shared" si="1"/>
        <v>0</v>
      </c>
      <c r="AP10" s="17">
        <f t="shared" si="2"/>
        <v>2.75</v>
      </c>
      <c r="AQ10" s="27">
        <v>1</v>
      </c>
      <c r="AR10" s="7" t="s">
        <v>22</v>
      </c>
      <c r="AS10" s="30">
        <v>5</v>
      </c>
      <c r="AT10" t="s">
        <v>142</v>
      </c>
    </row>
    <row r="11" spans="1:46" ht="12.75" x14ac:dyDescent="0.2">
      <c r="A11" s="7" t="s">
        <v>85</v>
      </c>
      <c r="B11" s="16" t="s">
        <v>45</v>
      </c>
      <c r="C11" s="16" t="s">
        <v>48</v>
      </c>
      <c r="D11" s="16" t="s">
        <v>47</v>
      </c>
      <c r="E11" s="16" t="s">
        <v>47</v>
      </c>
      <c r="F11" s="16" t="s">
        <v>45</v>
      </c>
      <c r="G11" s="16" t="s">
        <v>47</v>
      </c>
      <c r="H11" s="16" t="s">
        <v>46</v>
      </c>
      <c r="I11" s="16" t="s">
        <v>48</v>
      </c>
      <c r="J11" s="16" t="s">
        <v>47</v>
      </c>
      <c r="K11" s="16" t="s">
        <v>46</v>
      </c>
      <c r="L11" s="16" t="s">
        <v>48</v>
      </c>
      <c r="M11" s="16" t="s">
        <v>45</v>
      </c>
      <c r="N11" s="16" t="s">
        <v>48</v>
      </c>
      <c r="O11" s="16" t="s">
        <v>47</v>
      </c>
      <c r="P11" s="16" t="s">
        <v>46</v>
      </c>
      <c r="Q11" s="16" t="s">
        <v>47</v>
      </c>
      <c r="R11" s="16" t="s">
        <v>46</v>
      </c>
      <c r="S11" s="16" t="s">
        <v>45</v>
      </c>
      <c r="T11" s="16" t="s">
        <v>48</v>
      </c>
      <c r="U11" s="16" t="s">
        <v>45</v>
      </c>
      <c r="V11" s="7">
        <f t="shared" si="0"/>
        <v>1</v>
      </c>
      <c r="W11" s="7">
        <f t="shared" si="0"/>
        <v>0</v>
      </c>
      <c r="X11" s="7">
        <f t="shared" si="0"/>
        <v>0</v>
      </c>
      <c r="Y11" s="7">
        <f t="shared" si="0"/>
        <v>1</v>
      </c>
      <c r="Z11" s="7">
        <f t="shared" si="0"/>
        <v>0</v>
      </c>
      <c r="AA11" s="7">
        <f t="shared" si="0"/>
        <v>0</v>
      </c>
      <c r="AB11" s="7">
        <f t="shared" si="1"/>
        <v>0</v>
      </c>
      <c r="AC11" s="7">
        <f t="shared" si="1"/>
        <v>0</v>
      </c>
      <c r="AD11" s="7">
        <f t="shared" si="1"/>
        <v>0</v>
      </c>
      <c r="AE11" s="7">
        <f t="shared" si="1"/>
        <v>0</v>
      </c>
      <c r="AF11" s="7">
        <f t="shared" si="1"/>
        <v>0</v>
      </c>
      <c r="AG11" s="7">
        <f t="shared" si="1"/>
        <v>0</v>
      </c>
      <c r="AH11" s="7">
        <f t="shared" si="1"/>
        <v>0</v>
      </c>
      <c r="AI11" s="7">
        <f t="shared" si="1"/>
        <v>0</v>
      </c>
      <c r="AJ11" s="7">
        <f t="shared" si="1"/>
        <v>0</v>
      </c>
      <c r="AK11" s="7">
        <f t="shared" si="1"/>
        <v>0</v>
      </c>
      <c r="AL11" s="7">
        <f t="shared" si="1"/>
        <v>0</v>
      </c>
      <c r="AM11" s="7">
        <f t="shared" si="1"/>
        <v>0</v>
      </c>
      <c r="AN11" s="7">
        <f t="shared" si="1"/>
        <v>1</v>
      </c>
      <c r="AO11" s="7">
        <f t="shared" si="1"/>
        <v>0</v>
      </c>
      <c r="AP11" s="17">
        <f t="shared" si="2"/>
        <v>1.75</v>
      </c>
      <c r="AQ11" s="27">
        <v>1</v>
      </c>
      <c r="AR11" s="7" t="s">
        <v>23</v>
      </c>
      <c r="AS11" s="30">
        <v>5</v>
      </c>
      <c r="AT11" t="s">
        <v>142</v>
      </c>
    </row>
    <row r="12" spans="1:46" ht="12.75" x14ac:dyDescent="0.2">
      <c r="A12" s="7" t="s">
        <v>86</v>
      </c>
      <c r="B12" s="16" t="s">
        <v>47</v>
      </c>
      <c r="C12" s="16" t="s">
        <v>47</v>
      </c>
      <c r="D12" s="16" t="s">
        <v>46</v>
      </c>
      <c r="E12" s="16" t="s">
        <v>47</v>
      </c>
      <c r="F12" s="16" t="s">
        <v>47</v>
      </c>
      <c r="G12" s="16" t="s">
        <v>45</v>
      </c>
      <c r="H12" s="16" t="s">
        <v>48</v>
      </c>
      <c r="I12" s="16" t="s">
        <v>48</v>
      </c>
      <c r="J12" s="16" t="s">
        <v>48</v>
      </c>
      <c r="K12" s="16" t="s">
        <v>46</v>
      </c>
      <c r="L12" s="16" t="s">
        <v>48</v>
      </c>
      <c r="M12" s="16" t="s">
        <v>46</v>
      </c>
      <c r="N12" s="16" t="s">
        <v>45</v>
      </c>
      <c r="O12" s="16" t="s">
        <v>48</v>
      </c>
      <c r="P12" s="16" t="s">
        <v>46</v>
      </c>
      <c r="Q12" s="16" t="s">
        <v>45</v>
      </c>
      <c r="R12" s="16" t="s">
        <v>47</v>
      </c>
      <c r="S12" s="16" t="s">
        <v>47</v>
      </c>
      <c r="T12" s="16" t="s">
        <v>46</v>
      </c>
      <c r="U12" s="16" t="s">
        <v>47</v>
      </c>
      <c r="V12" s="7">
        <f t="shared" si="0"/>
        <v>0</v>
      </c>
      <c r="W12" s="7">
        <f t="shared" si="0"/>
        <v>0</v>
      </c>
      <c r="X12" s="7">
        <f t="shared" si="0"/>
        <v>1</v>
      </c>
      <c r="Y12" s="7">
        <f t="shared" si="0"/>
        <v>1</v>
      </c>
      <c r="Z12" s="7">
        <f t="shared" si="0"/>
        <v>1</v>
      </c>
      <c r="AA12" s="7">
        <f t="shared" si="0"/>
        <v>1</v>
      </c>
      <c r="AB12" s="7">
        <f t="shared" si="1"/>
        <v>0</v>
      </c>
      <c r="AC12" s="7">
        <f t="shared" si="1"/>
        <v>0</v>
      </c>
      <c r="AD12" s="7">
        <f t="shared" si="1"/>
        <v>0</v>
      </c>
      <c r="AE12" s="7">
        <f t="shared" si="1"/>
        <v>0</v>
      </c>
      <c r="AF12" s="7">
        <f t="shared" si="1"/>
        <v>0</v>
      </c>
      <c r="AG12" s="7">
        <f t="shared" si="1"/>
        <v>0</v>
      </c>
      <c r="AH12" s="7">
        <f t="shared" si="1"/>
        <v>1</v>
      </c>
      <c r="AI12" s="7">
        <f t="shared" si="1"/>
        <v>0</v>
      </c>
      <c r="AJ12" s="7">
        <f t="shared" si="1"/>
        <v>0</v>
      </c>
      <c r="AK12" s="7">
        <f t="shared" si="1"/>
        <v>0</v>
      </c>
      <c r="AL12" s="7">
        <f t="shared" si="1"/>
        <v>0</v>
      </c>
      <c r="AM12" s="7">
        <f t="shared" si="1"/>
        <v>1</v>
      </c>
      <c r="AN12" s="7">
        <f t="shared" si="1"/>
        <v>0</v>
      </c>
      <c r="AO12" s="7">
        <f t="shared" si="1"/>
        <v>0</v>
      </c>
      <c r="AP12" s="17">
        <f t="shared" si="2"/>
        <v>2.5</v>
      </c>
      <c r="AQ12" s="27">
        <v>1</v>
      </c>
      <c r="AR12" s="7" t="s">
        <v>24</v>
      </c>
      <c r="AS12" s="30">
        <v>13</v>
      </c>
      <c r="AT12" t="s">
        <v>142</v>
      </c>
    </row>
    <row r="13" spans="1:46" ht="12.75" x14ac:dyDescent="0.2">
      <c r="A13" s="7" t="s">
        <v>87</v>
      </c>
      <c r="B13" s="16" t="s">
        <v>45</v>
      </c>
      <c r="C13" s="16" t="s">
        <v>45</v>
      </c>
      <c r="D13" s="16" t="s">
        <v>47</v>
      </c>
      <c r="E13" s="16" t="s">
        <v>46</v>
      </c>
      <c r="F13" s="16" t="s">
        <v>47</v>
      </c>
      <c r="G13" s="16" t="s">
        <v>45</v>
      </c>
      <c r="H13" s="16" t="s">
        <v>46</v>
      </c>
      <c r="I13" s="16" t="s">
        <v>47</v>
      </c>
      <c r="J13" s="16" t="s">
        <v>45</v>
      </c>
      <c r="K13" s="16" t="s">
        <v>48</v>
      </c>
      <c r="L13" s="16" t="s">
        <v>47</v>
      </c>
      <c r="M13" s="16" t="s">
        <v>47</v>
      </c>
      <c r="N13" s="16" t="s">
        <v>46</v>
      </c>
      <c r="O13" s="16" t="s">
        <v>47</v>
      </c>
      <c r="P13" s="16" t="s">
        <v>45</v>
      </c>
      <c r="Q13" s="16" t="s">
        <v>47</v>
      </c>
      <c r="R13" s="16" t="s">
        <v>47</v>
      </c>
      <c r="S13" s="16" t="s">
        <v>45</v>
      </c>
      <c r="T13" s="16" t="s">
        <v>46</v>
      </c>
      <c r="U13" s="16" t="s">
        <v>48</v>
      </c>
      <c r="V13" s="7">
        <f t="shared" si="0"/>
        <v>1</v>
      </c>
      <c r="W13" s="7">
        <f t="shared" si="0"/>
        <v>1</v>
      </c>
      <c r="X13" s="7">
        <f t="shared" si="0"/>
        <v>0</v>
      </c>
      <c r="Y13" s="7">
        <f t="shared" si="0"/>
        <v>0</v>
      </c>
      <c r="Z13" s="7">
        <f t="shared" si="0"/>
        <v>1</v>
      </c>
      <c r="AA13" s="7">
        <f t="shared" si="0"/>
        <v>1</v>
      </c>
      <c r="AB13" s="7">
        <f t="shared" si="1"/>
        <v>0</v>
      </c>
      <c r="AC13" s="7">
        <f t="shared" si="1"/>
        <v>1</v>
      </c>
      <c r="AD13" s="7">
        <f t="shared" si="1"/>
        <v>1</v>
      </c>
      <c r="AE13" s="7">
        <f t="shared" si="1"/>
        <v>0</v>
      </c>
      <c r="AF13" s="7">
        <f t="shared" si="1"/>
        <v>0</v>
      </c>
      <c r="AG13" s="7">
        <f t="shared" si="1"/>
        <v>0</v>
      </c>
      <c r="AH13" s="7">
        <f t="shared" si="1"/>
        <v>0</v>
      </c>
      <c r="AI13" s="7">
        <f t="shared" si="1"/>
        <v>0</v>
      </c>
      <c r="AJ13" s="7">
        <f t="shared" si="1"/>
        <v>0</v>
      </c>
      <c r="AK13" s="7">
        <f t="shared" si="1"/>
        <v>0</v>
      </c>
      <c r="AL13" s="7">
        <f t="shared" si="1"/>
        <v>0</v>
      </c>
      <c r="AM13" s="7">
        <f t="shared" si="1"/>
        <v>0</v>
      </c>
      <c r="AN13" s="7">
        <f t="shared" si="1"/>
        <v>0</v>
      </c>
      <c r="AO13" s="7">
        <f t="shared" si="1"/>
        <v>0</v>
      </c>
      <c r="AP13" s="17">
        <f t="shared" si="2"/>
        <v>2.5</v>
      </c>
      <c r="AQ13" s="27">
        <v>2</v>
      </c>
      <c r="AR13" s="7" t="s">
        <v>25</v>
      </c>
      <c r="AS13" s="30">
        <v>6</v>
      </c>
      <c r="AT13" t="s">
        <v>142</v>
      </c>
    </row>
    <row r="14" spans="1:46" ht="12.75" x14ac:dyDescent="0.2">
      <c r="A14" s="7" t="s">
        <v>88</v>
      </c>
      <c r="B14" s="16" t="s">
        <v>45</v>
      </c>
      <c r="C14" s="16" t="s">
        <v>47</v>
      </c>
      <c r="D14" s="16" t="s">
        <v>47</v>
      </c>
      <c r="E14" s="16" t="s">
        <v>48</v>
      </c>
      <c r="F14" s="16" t="s">
        <v>47</v>
      </c>
      <c r="G14" s="16" t="s">
        <v>47</v>
      </c>
      <c r="H14" s="16" t="s">
        <v>46</v>
      </c>
      <c r="I14" s="16" t="s">
        <v>48</v>
      </c>
      <c r="J14" s="16" t="s">
        <v>48</v>
      </c>
      <c r="K14" s="16" t="s">
        <v>45</v>
      </c>
      <c r="L14" s="16" t="s">
        <v>45</v>
      </c>
      <c r="M14" s="16" t="s">
        <v>45</v>
      </c>
      <c r="N14" s="16" t="s">
        <v>45</v>
      </c>
      <c r="O14" s="16" t="s">
        <v>48</v>
      </c>
      <c r="P14" s="16" t="s">
        <v>47</v>
      </c>
      <c r="Q14" s="16" t="s">
        <v>47</v>
      </c>
      <c r="R14" s="16" t="s">
        <v>47</v>
      </c>
      <c r="S14" s="16" t="s">
        <v>45</v>
      </c>
      <c r="T14" s="16" t="s">
        <v>46</v>
      </c>
      <c r="U14" s="16" t="s">
        <v>48</v>
      </c>
      <c r="V14" s="7">
        <f t="shared" si="0"/>
        <v>1</v>
      </c>
      <c r="W14" s="7">
        <f t="shared" si="0"/>
        <v>0</v>
      </c>
      <c r="X14" s="7">
        <f t="shared" si="0"/>
        <v>0</v>
      </c>
      <c r="Y14" s="7">
        <f t="shared" si="0"/>
        <v>0</v>
      </c>
      <c r="Z14" s="7">
        <f t="shared" si="0"/>
        <v>1</v>
      </c>
      <c r="AA14" s="7">
        <f t="shared" si="0"/>
        <v>0</v>
      </c>
      <c r="AB14" s="7">
        <f t="shared" si="1"/>
        <v>0</v>
      </c>
      <c r="AC14" s="7">
        <f t="shared" si="1"/>
        <v>0</v>
      </c>
      <c r="AD14" s="7">
        <f t="shared" si="1"/>
        <v>0</v>
      </c>
      <c r="AE14" s="7">
        <f t="shared" si="1"/>
        <v>1</v>
      </c>
      <c r="AF14" s="7">
        <f t="shared" si="1"/>
        <v>1</v>
      </c>
      <c r="AG14" s="7">
        <f t="shared" si="1"/>
        <v>0</v>
      </c>
      <c r="AH14" s="7">
        <f t="shared" si="1"/>
        <v>1</v>
      </c>
      <c r="AI14" s="7">
        <f t="shared" si="1"/>
        <v>0</v>
      </c>
      <c r="AJ14" s="7">
        <f t="shared" si="1"/>
        <v>0</v>
      </c>
      <c r="AK14" s="7">
        <f t="shared" si="1"/>
        <v>0</v>
      </c>
      <c r="AL14" s="7">
        <f t="shared" si="1"/>
        <v>0</v>
      </c>
      <c r="AM14" s="7">
        <f t="shared" si="1"/>
        <v>0</v>
      </c>
      <c r="AN14" s="7">
        <f t="shared" si="1"/>
        <v>0</v>
      </c>
      <c r="AO14" s="7">
        <f t="shared" si="1"/>
        <v>0</v>
      </c>
      <c r="AP14" s="17">
        <f t="shared" si="2"/>
        <v>2.25</v>
      </c>
      <c r="AQ14" s="27">
        <v>3</v>
      </c>
      <c r="AR14" s="7" t="s">
        <v>26</v>
      </c>
      <c r="AS14" s="30">
        <v>7</v>
      </c>
      <c r="AT14" t="s">
        <v>142</v>
      </c>
    </row>
    <row r="15" spans="1:46" ht="12.75" x14ac:dyDescent="0.2">
      <c r="A15" s="7" t="s">
        <v>89</v>
      </c>
      <c r="B15" s="16" t="s">
        <v>45</v>
      </c>
      <c r="C15" s="16" t="s">
        <v>48</v>
      </c>
      <c r="D15" s="16" t="s">
        <v>47</v>
      </c>
      <c r="E15" s="16" t="s">
        <v>48</v>
      </c>
      <c r="F15" s="16" t="s">
        <v>47</v>
      </c>
      <c r="G15" s="16" t="s">
        <v>45</v>
      </c>
      <c r="H15" s="16" t="s">
        <v>46</v>
      </c>
      <c r="I15" s="16" t="s">
        <v>48</v>
      </c>
      <c r="J15" s="16" t="s">
        <v>47</v>
      </c>
      <c r="K15" s="16" t="s">
        <v>46</v>
      </c>
      <c r="L15" s="16" t="s">
        <v>45</v>
      </c>
      <c r="M15" s="16" t="s">
        <v>47</v>
      </c>
      <c r="N15" s="16" t="s">
        <v>46</v>
      </c>
      <c r="O15" s="16" t="s">
        <v>45</v>
      </c>
      <c r="P15" s="16" t="s">
        <v>46</v>
      </c>
      <c r="Q15" s="16" t="s">
        <v>47</v>
      </c>
      <c r="R15" s="16" t="s">
        <v>46</v>
      </c>
      <c r="S15" s="16" t="s">
        <v>47</v>
      </c>
      <c r="T15" s="16" t="s">
        <v>48</v>
      </c>
      <c r="U15" s="16" t="s">
        <v>45</v>
      </c>
      <c r="V15" s="7">
        <f t="shared" si="0"/>
        <v>1</v>
      </c>
      <c r="W15" s="7">
        <f t="shared" si="0"/>
        <v>0</v>
      </c>
      <c r="X15" s="7">
        <f t="shared" si="0"/>
        <v>0</v>
      </c>
      <c r="Y15" s="7">
        <f t="shared" si="0"/>
        <v>0</v>
      </c>
      <c r="Z15" s="7">
        <f t="shared" si="0"/>
        <v>1</v>
      </c>
      <c r="AA15" s="7">
        <f t="shared" si="0"/>
        <v>1</v>
      </c>
      <c r="AB15" s="7">
        <f t="shared" si="1"/>
        <v>0</v>
      </c>
      <c r="AC15" s="7">
        <f t="shared" si="1"/>
        <v>0</v>
      </c>
      <c r="AD15" s="7">
        <f t="shared" si="1"/>
        <v>0</v>
      </c>
      <c r="AE15" s="7">
        <f t="shared" si="1"/>
        <v>0</v>
      </c>
      <c r="AF15" s="7">
        <f t="shared" si="1"/>
        <v>1</v>
      </c>
      <c r="AG15" s="7">
        <f t="shared" si="1"/>
        <v>0</v>
      </c>
      <c r="AH15" s="7">
        <f t="shared" si="1"/>
        <v>0</v>
      </c>
      <c r="AI15" s="7">
        <f t="shared" si="1"/>
        <v>1</v>
      </c>
      <c r="AJ15" s="7">
        <f t="shared" si="1"/>
        <v>0</v>
      </c>
      <c r="AK15" s="7">
        <f t="shared" si="1"/>
        <v>0</v>
      </c>
      <c r="AL15" s="7">
        <f t="shared" si="1"/>
        <v>0</v>
      </c>
      <c r="AM15" s="7">
        <f t="shared" si="1"/>
        <v>1</v>
      </c>
      <c r="AN15" s="7">
        <f t="shared" si="1"/>
        <v>1</v>
      </c>
      <c r="AO15" s="7">
        <f t="shared" si="1"/>
        <v>0</v>
      </c>
      <c r="AP15" s="17">
        <f t="shared" si="2"/>
        <v>2.75</v>
      </c>
      <c r="AQ15" s="27">
        <v>3</v>
      </c>
      <c r="AR15" s="7" t="s">
        <v>27</v>
      </c>
      <c r="AS15" s="30">
        <v>6</v>
      </c>
      <c r="AT15" t="s">
        <v>142</v>
      </c>
    </row>
    <row r="16" spans="1:46" ht="12.75" x14ac:dyDescent="0.2">
      <c r="A16" s="7" t="s">
        <v>90</v>
      </c>
      <c r="B16" s="16" t="s">
        <v>46</v>
      </c>
      <c r="C16" s="16" t="s">
        <v>45</v>
      </c>
      <c r="D16" s="16" t="s">
        <v>47</v>
      </c>
      <c r="E16" s="16" t="s">
        <v>46</v>
      </c>
      <c r="F16" s="16" t="s">
        <v>45</v>
      </c>
      <c r="G16" s="16" t="s">
        <v>46</v>
      </c>
      <c r="H16" s="16" t="s">
        <v>45</v>
      </c>
      <c r="I16" s="16" t="s">
        <v>46</v>
      </c>
      <c r="J16" s="16" t="s">
        <v>45</v>
      </c>
      <c r="K16" s="16" t="s">
        <v>46</v>
      </c>
      <c r="L16" s="16" t="s">
        <v>47</v>
      </c>
      <c r="M16" s="16" t="s">
        <v>45</v>
      </c>
      <c r="N16" s="16" t="s">
        <v>48</v>
      </c>
      <c r="O16" s="16" t="s">
        <v>46</v>
      </c>
      <c r="P16" s="16" t="s">
        <v>45</v>
      </c>
      <c r="Q16" s="16" t="s">
        <v>47</v>
      </c>
      <c r="R16" s="16" t="s">
        <v>46</v>
      </c>
      <c r="S16" s="16" t="s">
        <v>48</v>
      </c>
      <c r="T16" s="16" t="s">
        <v>45</v>
      </c>
      <c r="U16" s="16" t="s">
        <v>46</v>
      </c>
      <c r="V16" s="7">
        <f t="shared" si="0"/>
        <v>0</v>
      </c>
      <c r="W16" s="7">
        <f t="shared" si="0"/>
        <v>1</v>
      </c>
      <c r="X16" s="7">
        <f t="shared" si="0"/>
        <v>0</v>
      </c>
      <c r="Y16" s="7">
        <f t="shared" si="0"/>
        <v>0</v>
      </c>
      <c r="Z16" s="7">
        <f t="shared" si="0"/>
        <v>0</v>
      </c>
      <c r="AA16" s="7">
        <f t="shared" si="0"/>
        <v>0</v>
      </c>
      <c r="AB16" s="7">
        <f t="shared" si="1"/>
        <v>1</v>
      </c>
      <c r="AC16" s="7">
        <f t="shared" si="1"/>
        <v>0</v>
      </c>
      <c r="AD16" s="7">
        <f t="shared" si="1"/>
        <v>1</v>
      </c>
      <c r="AE16" s="7">
        <f t="shared" si="1"/>
        <v>0</v>
      </c>
      <c r="AF16" s="7">
        <f t="shared" si="1"/>
        <v>0</v>
      </c>
      <c r="AG16" s="7">
        <f t="shared" si="1"/>
        <v>0</v>
      </c>
      <c r="AH16" s="7">
        <f t="shared" si="1"/>
        <v>0</v>
      </c>
      <c r="AI16" s="7">
        <f t="shared" si="1"/>
        <v>0</v>
      </c>
      <c r="AJ16" s="7">
        <f t="shared" si="1"/>
        <v>0</v>
      </c>
      <c r="AK16" s="7">
        <f t="shared" si="1"/>
        <v>0</v>
      </c>
      <c r="AL16" s="7">
        <f t="shared" si="1"/>
        <v>0</v>
      </c>
      <c r="AM16" s="7">
        <f t="shared" si="1"/>
        <v>0</v>
      </c>
      <c r="AN16" s="7">
        <f t="shared" si="1"/>
        <v>0</v>
      </c>
      <c r="AO16" s="7">
        <f t="shared" si="1"/>
        <v>1</v>
      </c>
      <c r="AP16" s="17">
        <f t="shared" si="2"/>
        <v>2</v>
      </c>
      <c r="AQ16" s="27">
        <v>2</v>
      </c>
      <c r="AR16" s="7" t="s">
        <v>28</v>
      </c>
      <c r="AS16" s="30">
        <v>9</v>
      </c>
      <c r="AT16" t="s">
        <v>142</v>
      </c>
    </row>
    <row r="17" spans="1:46" ht="12.75" x14ac:dyDescent="0.2">
      <c r="A17" s="7" t="s">
        <v>91</v>
      </c>
      <c r="B17" s="16" t="s">
        <v>45</v>
      </c>
      <c r="C17" s="16" t="s">
        <v>45</v>
      </c>
      <c r="D17" s="16" t="s">
        <v>48</v>
      </c>
      <c r="E17" s="16" t="s">
        <v>45</v>
      </c>
      <c r="F17" s="16" t="s">
        <v>47</v>
      </c>
      <c r="G17" s="16" t="s">
        <v>45</v>
      </c>
      <c r="H17" s="16" t="s">
        <v>48</v>
      </c>
      <c r="I17" s="16" t="s">
        <v>48</v>
      </c>
      <c r="J17" s="16" t="s">
        <v>45</v>
      </c>
      <c r="K17" s="16" t="s">
        <v>47</v>
      </c>
      <c r="L17" s="16" t="s">
        <v>47</v>
      </c>
      <c r="M17" s="16" t="s">
        <v>45</v>
      </c>
      <c r="N17" s="16" t="s">
        <v>45</v>
      </c>
      <c r="O17" s="16" t="s">
        <v>48</v>
      </c>
      <c r="P17" s="16" t="s">
        <v>46</v>
      </c>
      <c r="Q17" s="16" t="s">
        <v>46</v>
      </c>
      <c r="R17" s="16" t="s">
        <v>47</v>
      </c>
      <c r="S17" s="16" t="s">
        <v>47</v>
      </c>
      <c r="T17" s="16" t="s">
        <v>45</v>
      </c>
      <c r="U17" s="16" t="s">
        <v>48</v>
      </c>
      <c r="V17" s="7">
        <f t="shared" si="0"/>
        <v>1</v>
      </c>
      <c r="W17" s="7">
        <f t="shared" si="0"/>
        <v>1</v>
      </c>
      <c r="X17" s="7">
        <f t="shared" si="0"/>
        <v>0</v>
      </c>
      <c r="Y17" s="7">
        <f t="shared" si="0"/>
        <v>0</v>
      </c>
      <c r="Z17" s="7">
        <f t="shared" si="0"/>
        <v>1</v>
      </c>
      <c r="AA17" s="7">
        <f t="shared" si="0"/>
        <v>1</v>
      </c>
      <c r="AB17" s="7">
        <f t="shared" si="1"/>
        <v>0</v>
      </c>
      <c r="AC17" s="7">
        <f t="shared" si="1"/>
        <v>0</v>
      </c>
      <c r="AD17" s="7">
        <f t="shared" si="1"/>
        <v>1</v>
      </c>
      <c r="AE17" s="7">
        <f t="shared" si="1"/>
        <v>0</v>
      </c>
      <c r="AF17" s="7">
        <f t="shared" si="1"/>
        <v>0</v>
      </c>
      <c r="AG17" s="7">
        <f t="shared" si="1"/>
        <v>0</v>
      </c>
      <c r="AH17" s="7">
        <f t="shared" si="1"/>
        <v>1</v>
      </c>
      <c r="AI17" s="7">
        <f t="shared" si="1"/>
        <v>0</v>
      </c>
      <c r="AJ17" s="7">
        <f t="shared" si="1"/>
        <v>0</v>
      </c>
      <c r="AK17" s="7">
        <f t="shared" si="1"/>
        <v>1</v>
      </c>
      <c r="AL17" s="7">
        <f t="shared" si="1"/>
        <v>0</v>
      </c>
      <c r="AM17" s="7">
        <f t="shared" si="1"/>
        <v>1</v>
      </c>
      <c r="AN17" s="7">
        <f t="shared" si="1"/>
        <v>0</v>
      </c>
      <c r="AO17" s="7">
        <f t="shared" si="1"/>
        <v>0</v>
      </c>
      <c r="AP17" s="17">
        <f t="shared" si="2"/>
        <v>3</v>
      </c>
      <c r="AQ17" s="27">
        <v>2</v>
      </c>
      <c r="AR17" s="7" t="s">
        <v>29</v>
      </c>
      <c r="AS17" s="30">
        <v>2</v>
      </c>
      <c r="AT17" t="s">
        <v>142</v>
      </c>
    </row>
    <row r="18" spans="1:46" ht="12.75" x14ac:dyDescent="0.2">
      <c r="A18" s="7" t="s">
        <v>92</v>
      </c>
      <c r="B18" s="16" t="s">
        <v>46</v>
      </c>
      <c r="C18" s="16" t="s">
        <v>48</v>
      </c>
      <c r="D18" s="16" t="s">
        <v>47</v>
      </c>
      <c r="E18" s="16" t="s">
        <v>45</v>
      </c>
      <c r="F18" s="16" t="s">
        <v>48</v>
      </c>
      <c r="G18" s="16" t="s">
        <v>47</v>
      </c>
      <c r="H18" s="16" t="s">
        <v>46</v>
      </c>
      <c r="I18" s="16" t="s">
        <v>48</v>
      </c>
      <c r="J18" s="16" t="s">
        <v>45</v>
      </c>
      <c r="K18" s="16" t="s">
        <v>45</v>
      </c>
      <c r="L18" s="16" t="s">
        <v>48</v>
      </c>
      <c r="M18" s="16" t="s">
        <v>46</v>
      </c>
      <c r="N18" s="16" t="s">
        <v>48</v>
      </c>
      <c r="O18" s="16" t="s">
        <v>46</v>
      </c>
      <c r="P18" s="16" t="s">
        <v>47</v>
      </c>
      <c r="Q18" s="16" t="s">
        <v>45</v>
      </c>
      <c r="R18" s="16" t="s">
        <v>48</v>
      </c>
      <c r="S18" s="16" t="s">
        <v>47</v>
      </c>
      <c r="T18" s="16" t="s">
        <v>46</v>
      </c>
      <c r="U18" s="16" t="s">
        <v>48</v>
      </c>
      <c r="V18" s="7">
        <f t="shared" si="0"/>
        <v>0</v>
      </c>
      <c r="W18" s="7">
        <f t="shared" si="0"/>
        <v>0</v>
      </c>
      <c r="X18" s="7">
        <f t="shared" si="0"/>
        <v>0</v>
      </c>
      <c r="Y18" s="7">
        <f t="shared" si="0"/>
        <v>0</v>
      </c>
      <c r="Z18" s="7">
        <f t="shared" si="0"/>
        <v>0</v>
      </c>
      <c r="AA18" s="7">
        <f t="shared" si="0"/>
        <v>0</v>
      </c>
      <c r="AB18" s="7">
        <f t="shared" si="1"/>
        <v>0</v>
      </c>
      <c r="AC18" s="7">
        <f t="shared" si="1"/>
        <v>0</v>
      </c>
      <c r="AD18" s="7">
        <f t="shared" si="1"/>
        <v>1</v>
      </c>
      <c r="AE18" s="7">
        <f t="shared" si="1"/>
        <v>1</v>
      </c>
      <c r="AF18" s="7">
        <f t="shared" si="1"/>
        <v>0</v>
      </c>
      <c r="AG18" s="7">
        <f t="shared" si="1"/>
        <v>0</v>
      </c>
      <c r="AH18" s="7">
        <f t="shared" si="1"/>
        <v>0</v>
      </c>
      <c r="AI18" s="7">
        <f t="shared" si="1"/>
        <v>0</v>
      </c>
      <c r="AJ18" s="7">
        <f t="shared" si="1"/>
        <v>0</v>
      </c>
      <c r="AK18" s="7">
        <f t="shared" si="1"/>
        <v>0</v>
      </c>
      <c r="AL18" s="7">
        <f t="shared" si="1"/>
        <v>0</v>
      </c>
      <c r="AM18" s="7">
        <f t="shared" si="1"/>
        <v>1</v>
      </c>
      <c r="AN18" s="7">
        <f t="shared" si="1"/>
        <v>0</v>
      </c>
      <c r="AO18" s="7">
        <f t="shared" si="1"/>
        <v>0</v>
      </c>
      <c r="AP18" s="17">
        <f t="shared" si="2"/>
        <v>1.75</v>
      </c>
      <c r="AQ18" s="27">
        <v>1</v>
      </c>
      <c r="AR18" s="7" t="s">
        <v>30</v>
      </c>
      <c r="AS18" s="30">
        <v>4</v>
      </c>
      <c r="AT18" t="s">
        <v>142</v>
      </c>
    </row>
    <row r="19" spans="1:46" ht="12.75" x14ac:dyDescent="0.2">
      <c r="A19" s="7" t="s">
        <v>93</v>
      </c>
      <c r="B19" s="16" t="s">
        <v>45</v>
      </c>
      <c r="C19" s="16" t="s">
        <v>46</v>
      </c>
      <c r="D19" s="16" t="s">
        <v>45</v>
      </c>
      <c r="E19" s="16" t="s">
        <v>45</v>
      </c>
      <c r="F19" s="16" t="s">
        <v>47</v>
      </c>
      <c r="G19" s="16" t="s">
        <v>45</v>
      </c>
      <c r="H19" s="16" t="s">
        <v>46</v>
      </c>
      <c r="I19" s="16" t="s">
        <v>47</v>
      </c>
      <c r="J19" s="16" t="s">
        <v>45</v>
      </c>
      <c r="K19" s="16" t="s">
        <v>48</v>
      </c>
      <c r="L19" s="16" t="s">
        <v>46</v>
      </c>
      <c r="M19" s="16" t="s">
        <v>47</v>
      </c>
      <c r="N19" s="16" t="s">
        <v>46</v>
      </c>
      <c r="O19" s="16" t="s">
        <v>47</v>
      </c>
      <c r="P19" s="16" t="s">
        <v>45</v>
      </c>
      <c r="Q19" s="16" t="s">
        <v>48</v>
      </c>
      <c r="R19" s="16" t="s">
        <v>46</v>
      </c>
      <c r="S19" s="16" t="s">
        <v>47</v>
      </c>
      <c r="T19" s="16" t="s">
        <v>45</v>
      </c>
      <c r="U19" s="16" t="s">
        <v>48</v>
      </c>
      <c r="V19" s="7">
        <f t="shared" si="0"/>
        <v>1</v>
      </c>
      <c r="W19" s="7">
        <f t="shared" si="0"/>
        <v>0</v>
      </c>
      <c r="X19" s="7">
        <f t="shared" si="0"/>
        <v>0</v>
      </c>
      <c r="Y19" s="7">
        <f t="shared" si="0"/>
        <v>0</v>
      </c>
      <c r="Z19" s="7">
        <f t="shared" si="0"/>
        <v>1</v>
      </c>
      <c r="AA19" s="7">
        <f t="shared" si="0"/>
        <v>1</v>
      </c>
      <c r="AB19" s="7">
        <f t="shared" si="1"/>
        <v>0</v>
      </c>
      <c r="AC19" s="7">
        <f t="shared" si="1"/>
        <v>1</v>
      </c>
      <c r="AD19" s="7">
        <f t="shared" si="1"/>
        <v>1</v>
      </c>
      <c r="AE19" s="7">
        <f t="shared" si="1"/>
        <v>0</v>
      </c>
      <c r="AF19" s="7">
        <f t="shared" si="1"/>
        <v>0</v>
      </c>
      <c r="AG19" s="7">
        <f t="shared" si="1"/>
        <v>0</v>
      </c>
      <c r="AH19" s="7">
        <f t="shared" si="1"/>
        <v>0</v>
      </c>
      <c r="AI19" s="7">
        <f t="shared" si="1"/>
        <v>0</v>
      </c>
      <c r="AJ19" s="7">
        <f t="shared" si="1"/>
        <v>0</v>
      </c>
      <c r="AK19" s="7">
        <f t="shared" si="1"/>
        <v>0</v>
      </c>
      <c r="AL19" s="7">
        <f t="shared" si="1"/>
        <v>0</v>
      </c>
      <c r="AM19" s="7">
        <f t="shared" si="1"/>
        <v>1</v>
      </c>
      <c r="AN19" s="7">
        <f t="shared" si="1"/>
        <v>0</v>
      </c>
      <c r="AO19" s="7">
        <f t="shared" si="1"/>
        <v>0</v>
      </c>
      <c r="AP19" s="17">
        <f t="shared" si="2"/>
        <v>2.5</v>
      </c>
      <c r="AQ19" s="27">
        <v>1</v>
      </c>
      <c r="AR19" s="7" t="s">
        <v>31</v>
      </c>
      <c r="AS19" s="30">
        <v>7</v>
      </c>
      <c r="AT19" t="s">
        <v>142</v>
      </c>
    </row>
    <row r="20" spans="1:46" ht="12.75" x14ac:dyDescent="0.2">
      <c r="A20" s="7" t="s">
        <v>94</v>
      </c>
      <c r="B20" s="16" t="s">
        <v>46</v>
      </c>
      <c r="C20" s="16" t="s">
        <v>46</v>
      </c>
      <c r="D20" s="16" t="s">
        <v>46</v>
      </c>
      <c r="E20" s="16" t="s">
        <v>48</v>
      </c>
      <c r="F20" s="16" t="s">
        <v>45</v>
      </c>
      <c r="G20" s="16" t="s">
        <v>45</v>
      </c>
      <c r="H20" s="16" t="s">
        <v>46</v>
      </c>
      <c r="I20" s="16" t="s">
        <v>48</v>
      </c>
      <c r="J20" s="16" t="s">
        <v>47</v>
      </c>
      <c r="K20" s="16" t="s">
        <v>47</v>
      </c>
      <c r="L20" s="16" t="s">
        <v>45</v>
      </c>
      <c r="M20" s="16" t="s">
        <v>48</v>
      </c>
      <c r="N20" s="16" t="s">
        <v>46</v>
      </c>
      <c r="O20" s="16" t="s">
        <v>45</v>
      </c>
      <c r="P20" s="16" t="s">
        <v>47</v>
      </c>
      <c r="Q20" s="16" t="s">
        <v>46</v>
      </c>
      <c r="R20" s="16" t="s">
        <v>48</v>
      </c>
      <c r="S20" s="16" t="s">
        <v>45</v>
      </c>
      <c r="T20" s="16" t="s">
        <v>47</v>
      </c>
      <c r="U20" s="16" t="s">
        <v>6</v>
      </c>
      <c r="V20" s="7">
        <f t="shared" ref="V20:AA35" si="3">IF(B20=B$3,1,0)</f>
        <v>0</v>
      </c>
      <c r="W20" s="7">
        <f t="shared" si="3"/>
        <v>0</v>
      </c>
      <c r="X20" s="7">
        <f t="shared" si="3"/>
        <v>1</v>
      </c>
      <c r="Y20" s="7">
        <f t="shared" si="3"/>
        <v>0</v>
      </c>
      <c r="Z20" s="7">
        <f t="shared" si="3"/>
        <v>0</v>
      </c>
      <c r="AA20" s="7">
        <f t="shared" si="3"/>
        <v>1</v>
      </c>
      <c r="AB20" s="7">
        <f t="shared" si="1"/>
        <v>0</v>
      </c>
      <c r="AC20" s="7">
        <f t="shared" si="1"/>
        <v>0</v>
      </c>
      <c r="AD20" s="7">
        <f t="shared" si="1"/>
        <v>0</v>
      </c>
      <c r="AE20" s="7">
        <f t="shared" si="1"/>
        <v>0</v>
      </c>
      <c r="AF20" s="7">
        <f t="shared" si="1"/>
        <v>1</v>
      </c>
      <c r="AG20" s="7">
        <f t="shared" si="1"/>
        <v>1</v>
      </c>
      <c r="AH20" s="7">
        <f t="shared" si="1"/>
        <v>0</v>
      </c>
      <c r="AI20" s="7">
        <f t="shared" si="1"/>
        <v>1</v>
      </c>
      <c r="AJ20" s="7">
        <f t="shared" si="1"/>
        <v>0</v>
      </c>
      <c r="AK20" s="7">
        <f t="shared" si="1"/>
        <v>1</v>
      </c>
      <c r="AL20" s="7">
        <f t="shared" si="1"/>
        <v>0</v>
      </c>
      <c r="AM20" s="7">
        <f t="shared" si="1"/>
        <v>0</v>
      </c>
      <c r="AN20" s="7">
        <f t="shared" si="1"/>
        <v>0</v>
      </c>
      <c r="AO20" s="7">
        <f t="shared" si="1"/>
        <v>0</v>
      </c>
      <c r="AP20" s="17">
        <f t="shared" si="2"/>
        <v>2.5</v>
      </c>
      <c r="AQ20" s="27">
        <v>2</v>
      </c>
      <c r="AR20" s="7" t="s">
        <v>32</v>
      </c>
      <c r="AS20" s="30">
        <v>4</v>
      </c>
      <c r="AT20" t="s">
        <v>142</v>
      </c>
    </row>
    <row r="21" spans="1:46" ht="12.75" x14ac:dyDescent="0.2">
      <c r="A21" s="7" t="s">
        <v>95</v>
      </c>
      <c r="B21" s="16" t="s">
        <v>45</v>
      </c>
      <c r="C21" s="16" t="s">
        <v>46</v>
      </c>
      <c r="D21" s="16" t="s">
        <v>47</v>
      </c>
      <c r="E21" s="16" t="s">
        <v>47</v>
      </c>
      <c r="F21" s="16" t="s">
        <v>47</v>
      </c>
      <c r="G21" s="16" t="s">
        <v>45</v>
      </c>
      <c r="H21" s="16" t="s">
        <v>46</v>
      </c>
      <c r="I21" s="16" t="s">
        <v>47</v>
      </c>
      <c r="J21" s="16" t="s">
        <v>45</v>
      </c>
      <c r="K21" s="16" t="s">
        <v>48</v>
      </c>
      <c r="L21" s="16" t="s">
        <v>47</v>
      </c>
      <c r="M21" s="16" t="s">
        <v>47</v>
      </c>
      <c r="N21" s="16" t="s">
        <v>46</v>
      </c>
      <c r="O21" s="16" t="s">
        <v>47</v>
      </c>
      <c r="P21" s="16" t="s">
        <v>45</v>
      </c>
      <c r="Q21" s="16" t="s">
        <v>48</v>
      </c>
      <c r="R21" s="16" t="s">
        <v>46</v>
      </c>
      <c r="S21" s="16" t="s">
        <v>47</v>
      </c>
      <c r="T21" s="16" t="s">
        <v>45</v>
      </c>
      <c r="U21" s="16" t="s">
        <v>48</v>
      </c>
      <c r="V21" s="7">
        <f t="shared" si="3"/>
        <v>1</v>
      </c>
      <c r="W21" s="7">
        <f t="shared" si="3"/>
        <v>0</v>
      </c>
      <c r="X21" s="7">
        <f t="shared" si="3"/>
        <v>0</v>
      </c>
      <c r="Y21" s="7">
        <f t="shared" si="3"/>
        <v>1</v>
      </c>
      <c r="Z21" s="7">
        <f t="shared" si="3"/>
        <v>1</v>
      </c>
      <c r="AA21" s="7">
        <f t="shared" si="3"/>
        <v>1</v>
      </c>
      <c r="AB21" s="7">
        <f t="shared" si="1"/>
        <v>0</v>
      </c>
      <c r="AC21" s="7">
        <f t="shared" si="1"/>
        <v>1</v>
      </c>
      <c r="AD21" s="7">
        <f t="shared" si="1"/>
        <v>1</v>
      </c>
      <c r="AE21" s="7">
        <f t="shared" si="1"/>
        <v>0</v>
      </c>
      <c r="AF21" s="7">
        <f t="shared" si="1"/>
        <v>0</v>
      </c>
      <c r="AG21" s="7">
        <f t="shared" si="1"/>
        <v>0</v>
      </c>
      <c r="AH21" s="7">
        <f t="shared" si="1"/>
        <v>0</v>
      </c>
      <c r="AI21" s="7">
        <f t="shared" si="1"/>
        <v>0</v>
      </c>
      <c r="AJ21" s="7">
        <f t="shared" si="1"/>
        <v>0</v>
      </c>
      <c r="AK21" s="7">
        <f t="shared" si="1"/>
        <v>0</v>
      </c>
      <c r="AL21" s="7">
        <f t="shared" si="1"/>
        <v>0</v>
      </c>
      <c r="AM21" s="7">
        <f t="shared" si="1"/>
        <v>1</v>
      </c>
      <c r="AN21" s="7">
        <f t="shared" si="1"/>
        <v>0</v>
      </c>
      <c r="AO21" s="7">
        <f t="shared" si="1"/>
        <v>0</v>
      </c>
      <c r="AP21" s="17">
        <f t="shared" si="2"/>
        <v>2.75</v>
      </c>
      <c r="AQ21" s="27">
        <v>1</v>
      </c>
      <c r="AR21" s="7" t="s">
        <v>33</v>
      </c>
      <c r="AS21" s="30">
        <v>15</v>
      </c>
      <c r="AT21" t="s">
        <v>142</v>
      </c>
    </row>
    <row r="22" spans="1:46" ht="12.75" x14ac:dyDescent="0.2">
      <c r="A22" s="7" t="s">
        <v>96</v>
      </c>
      <c r="B22" s="16" t="s">
        <v>47</v>
      </c>
      <c r="C22" s="16" t="s">
        <v>48</v>
      </c>
      <c r="D22" s="16" t="s">
        <v>46</v>
      </c>
      <c r="E22" s="16" t="s">
        <v>46</v>
      </c>
      <c r="F22" s="16" t="s">
        <v>47</v>
      </c>
      <c r="G22" s="16" t="s">
        <v>45</v>
      </c>
      <c r="H22" s="16" t="s">
        <v>45</v>
      </c>
      <c r="I22" s="16" t="s">
        <v>46</v>
      </c>
      <c r="J22" s="16" t="s">
        <v>47</v>
      </c>
      <c r="K22" s="16" t="s">
        <v>47</v>
      </c>
      <c r="L22" s="16" t="s">
        <v>45</v>
      </c>
      <c r="M22" s="16" t="s">
        <v>46</v>
      </c>
      <c r="N22" s="16" t="s">
        <v>46</v>
      </c>
      <c r="O22" s="16" t="s">
        <v>46</v>
      </c>
      <c r="P22" s="16" t="s">
        <v>6</v>
      </c>
      <c r="Q22" s="16" t="s">
        <v>45</v>
      </c>
      <c r="R22" s="16" t="s">
        <v>47</v>
      </c>
      <c r="S22" s="16" t="s">
        <v>48</v>
      </c>
      <c r="T22" s="16" t="s">
        <v>46</v>
      </c>
      <c r="U22" s="16" t="s">
        <v>47</v>
      </c>
      <c r="V22" s="7">
        <f t="shared" si="3"/>
        <v>0</v>
      </c>
      <c r="W22" s="7">
        <f t="shared" si="3"/>
        <v>0</v>
      </c>
      <c r="X22" s="7">
        <f t="shared" si="3"/>
        <v>1</v>
      </c>
      <c r="Y22" s="7">
        <f t="shared" si="3"/>
        <v>0</v>
      </c>
      <c r="Z22" s="7">
        <f t="shared" si="3"/>
        <v>1</v>
      </c>
      <c r="AA22" s="7">
        <f t="shared" si="3"/>
        <v>1</v>
      </c>
      <c r="AB22" s="7">
        <f t="shared" si="1"/>
        <v>1</v>
      </c>
      <c r="AC22" s="7">
        <f t="shared" si="1"/>
        <v>0</v>
      </c>
      <c r="AD22" s="7">
        <f t="shared" si="1"/>
        <v>0</v>
      </c>
      <c r="AE22" s="7">
        <f t="shared" ref="AE22:AO35" si="4">IF(K22=J$3,1,0)</f>
        <v>0</v>
      </c>
      <c r="AF22" s="7">
        <f t="shared" si="4"/>
        <v>1</v>
      </c>
      <c r="AG22" s="7">
        <f t="shared" si="4"/>
        <v>0</v>
      </c>
      <c r="AH22" s="7">
        <f t="shared" si="4"/>
        <v>0</v>
      </c>
      <c r="AI22" s="7">
        <f t="shared" si="4"/>
        <v>0</v>
      </c>
      <c r="AJ22" s="7">
        <f t="shared" si="4"/>
        <v>0</v>
      </c>
      <c r="AK22" s="7">
        <f t="shared" si="4"/>
        <v>0</v>
      </c>
      <c r="AL22" s="7">
        <f t="shared" si="4"/>
        <v>0</v>
      </c>
      <c r="AM22" s="7">
        <f t="shared" si="4"/>
        <v>0</v>
      </c>
      <c r="AN22" s="7">
        <f t="shared" si="4"/>
        <v>0</v>
      </c>
      <c r="AO22" s="7">
        <f t="shared" si="4"/>
        <v>0</v>
      </c>
      <c r="AP22" s="17">
        <f t="shared" si="2"/>
        <v>2.25</v>
      </c>
      <c r="AQ22" s="27">
        <v>1</v>
      </c>
      <c r="AR22" s="7" t="s">
        <v>34</v>
      </c>
      <c r="AS22" s="30">
        <v>2</v>
      </c>
      <c r="AT22" t="s">
        <v>142</v>
      </c>
    </row>
    <row r="23" spans="1:46" ht="13.5" thickBot="1" x14ac:dyDescent="0.25">
      <c r="A23" s="7" t="s">
        <v>97</v>
      </c>
      <c r="B23" s="16" t="s">
        <v>45</v>
      </c>
      <c r="C23" s="16" t="s">
        <v>46</v>
      </c>
      <c r="D23" s="16" t="s">
        <v>45</v>
      </c>
      <c r="E23" s="16" t="s">
        <v>46</v>
      </c>
      <c r="F23" s="16" t="s">
        <v>47</v>
      </c>
      <c r="G23" s="16" t="s">
        <v>45</v>
      </c>
      <c r="H23" s="16" t="s">
        <v>46</v>
      </c>
      <c r="I23" s="16" t="s">
        <v>47</v>
      </c>
      <c r="J23" s="16" t="s">
        <v>45</v>
      </c>
      <c r="K23" s="16" t="s">
        <v>48</v>
      </c>
      <c r="L23" s="16" t="s">
        <v>47</v>
      </c>
      <c r="M23" s="16" t="s">
        <v>47</v>
      </c>
      <c r="N23" s="16" t="s">
        <v>46</v>
      </c>
      <c r="O23" s="16" t="s">
        <v>47</v>
      </c>
      <c r="P23" s="16" t="s">
        <v>45</v>
      </c>
      <c r="Q23" s="16" t="s">
        <v>48</v>
      </c>
      <c r="R23" s="16" t="s">
        <v>46</v>
      </c>
      <c r="S23" s="16" t="s">
        <v>47</v>
      </c>
      <c r="T23" s="16" t="s">
        <v>45</v>
      </c>
      <c r="U23" s="16" t="s">
        <v>46</v>
      </c>
      <c r="V23" s="7">
        <f t="shared" si="3"/>
        <v>1</v>
      </c>
      <c r="W23" s="7">
        <f t="shared" si="3"/>
        <v>0</v>
      </c>
      <c r="X23" s="7">
        <f t="shared" si="3"/>
        <v>0</v>
      </c>
      <c r="Y23" s="7">
        <f t="shared" si="3"/>
        <v>0</v>
      </c>
      <c r="Z23" s="7">
        <f t="shared" si="3"/>
        <v>1</v>
      </c>
      <c r="AA23" s="7">
        <f t="shared" si="3"/>
        <v>1</v>
      </c>
      <c r="AB23" s="7">
        <f t="shared" ref="AB23:AD35" si="5">IF(H23=G$3,1,0)</f>
        <v>0</v>
      </c>
      <c r="AC23" s="7">
        <f t="shared" si="5"/>
        <v>1</v>
      </c>
      <c r="AD23" s="7">
        <f t="shared" si="5"/>
        <v>1</v>
      </c>
      <c r="AE23" s="7">
        <f t="shared" si="4"/>
        <v>0</v>
      </c>
      <c r="AF23" s="7">
        <f t="shared" si="4"/>
        <v>0</v>
      </c>
      <c r="AG23" s="7">
        <f t="shared" si="4"/>
        <v>0</v>
      </c>
      <c r="AH23" s="7">
        <f t="shared" si="4"/>
        <v>0</v>
      </c>
      <c r="AI23" s="7">
        <f t="shared" si="4"/>
        <v>0</v>
      </c>
      <c r="AJ23" s="7">
        <f t="shared" si="4"/>
        <v>0</v>
      </c>
      <c r="AK23" s="7">
        <f t="shared" si="4"/>
        <v>0</v>
      </c>
      <c r="AL23" s="7">
        <f t="shared" si="4"/>
        <v>0</v>
      </c>
      <c r="AM23" s="7">
        <f t="shared" si="4"/>
        <v>1</v>
      </c>
      <c r="AN23" s="7">
        <f t="shared" si="4"/>
        <v>0</v>
      </c>
      <c r="AO23" s="7">
        <f t="shared" si="4"/>
        <v>1</v>
      </c>
      <c r="AP23" s="17">
        <f t="shared" si="2"/>
        <v>2.75</v>
      </c>
      <c r="AQ23" s="27">
        <v>1</v>
      </c>
      <c r="AR23" s="7" t="s">
        <v>35</v>
      </c>
      <c r="AS23" s="49">
        <v>5</v>
      </c>
      <c r="AT23" t="s">
        <v>142</v>
      </c>
    </row>
    <row r="24" spans="1:46" ht="12.75" x14ac:dyDescent="0.2">
      <c r="A24" s="7" t="s">
        <v>98</v>
      </c>
      <c r="B24" s="16" t="s">
        <v>45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45</v>
      </c>
      <c r="H24" s="16" t="s">
        <v>45</v>
      </c>
      <c r="I24" s="16" t="s">
        <v>46</v>
      </c>
      <c r="J24" s="16" t="s">
        <v>48</v>
      </c>
      <c r="K24" s="16" t="s">
        <v>45</v>
      </c>
      <c r="L24" s="16" t="s">
        <v>46</v>
      </c>
      <c r="M24" s="16" t="s">
        <v>46</v>
      </c>
      <c r="N24" s="16" t="s">
        <v>45</v>
      </c>
      <c r="O24" s="16" t="s">
        <v>47</v>
      </c>
      <c r="P24" s="16" t="s">
        <v>48</v>
      </c>
      <c r="Q24" s="16" t="s">
        <v>48</v>
      </c>
      <c r="R24" s="16" t="s">
        <v>46</v>
      </c>
      <c r="S24" s="16" t="s">
        <v>47</v>
      </c>
      <c r="T24" s="16" t="s">
        <v>47</v>
      </c>
      <c r="U24" s="16" t="s">
        <v>48</v>
      </c>
      <c r="V24" s="7">
        <f t="shared" si="3"/>
        <v>1</v>
      </c>
      <c r="W24" s="7">
        <f t="shared" si="3"/>
        <v>0</v>
      </c>
      <c r="X24" s="7">
        <f t="shared" si="3"/>
        <v>0</v>
      </c>
      <c r="Y24" s="7">
        <f t="shared" si="3"/>
        <v>1</v>
      </c>
      <c r="Z24" s="7">
        <f t="shared" si="3"/>
        <v>1</v>
      </c>
      <c r="AA24" s="7">
        <f t="shared" si="3"/>
        <v>1</v>
      </c>
      <c r="AB24" s="7">
        <f t="shared" si="5"/>
        <v>1</v>
      </c>
      <c r="AC24" s="7">
        <f t="shared" si="5"/>
        <v>0</v>
      </c>
      <c r="AD24" s="7">
        <f t="shared" si="5"/>
        <v>0</v>
      </c>
      <c r="AE24" s="7">
        <f t="shared" si="4"/>
        <v>1</v>
      </c>
      <c r="AF24" s="7">
        <f t="shared" si="4"/>
        <v>0</v>
      </c>
      <c r="AG24" s="7">
        <f t="shared" si="4"/>
        <v>0</v>
      </c>
      <c r="AH24" s="7">
        <f t="shared" si="4"/>
        <v>1</v>
      </c>
      <c r="AI24" s="7">
        <f t="shared" si="4"/>
        <v>0</v>
      </c>
      <c r="AJ24" s="7">
        <f t="shared" si="4"/>
        <v>1</v>
      </c>
      <c r="AK24" s="7">
        <f t="shared" si="4"/>
        <v>0</v>
      </c>
      <c r="AL24" s="7">
        <f t="shared" si="4"/>
        <v>0</v>
      </c>
      <c r="AM24" s="7">
        <f t="shared" si="4"/>
        <v>1</v>
      </c>
      <c r="AN24" s="7">
        <f t="shared" si="4"/>
        <v>0</v>
      </c>
      <c r="AO24" s="7">
        <f t="shared" si="4"/>
        <v>0</v>
      </c>
      <c r="AP24" s="17">
        <f t="shared" si="2"/>
        <v>3.25</v>
      </c>
      <c r="AS24" s="55" t="s">
        <v>178</v>
      </c>
      <c r="AT24" t="s">
        <v>142</v>
      </c>
    </row>
    <row r="25" spans="1:46" ht="12.75" x14ac:dyDescent="0.2">
      <c r="A25" s="7" t="s">
        <v>99</v>
      </c>
      <c r="B25" s="16" t="s">
        <v>45</v>
      </c>
      <c r="C25" s="16" t="s">
        <v>46</v>
      </c>
      <c r="D25" s="16" t="s">
        <v>45</v>
      </c>
      <c r="E25" s="16" t="s">
        <v>46</v>
      </c>
      <c r="F25" s="16" t="s">
        <v>47</v>
      </c>
      <c r="G25" s="16" t="s">
        <v>45</v>
      </c>
      <c r="H25" s="16" t="s">
        <v>46</v>
      </c>
      <c r="I25" s="16" t="s">
        <v>47</v>
      </c>
      <c r="J25" s="16" t="s">
        <v>45</v>
      </c>
      <c r="K25" s="16" t="s">
        <v>48</v>
      </c>
      <c r="L25" s="16" t="s">
        <v>47</v>
      </c>
      <c r="M25" s="16" t="s">
        <v>47</v>
      </c>
      <c r="N25" s="16" t="s">
        <v>48</v>
      </c>
      <c r="O25" s="16" t="s">
        <v>47</v>
      </c>
      <c r="P25" s="16" t="s">
        <v>48</v>
      </c>
      <c r="Q25" s="16" t="s">
        <v>47</v>
      </c>
      <c r="R25" s="16" t="s">
        <v>45</v>
      </c>
      <c r="S25" s="16" t="s">
        <v>47</v>
      </c>
      <c r="T25" s="16" t="s">
        <v>45</v>
      </c>
      <c r="U25" s="16" t="s">
        <v>47</v>
      </c>
      <c r="V25" s="7">
        <f t="shared" si="3"/>
        <v>1</v>
      </c>
      <c r="W25" s="7">
        <f t="shared" si="3"/>
        <v>0</v>
      </c>
      <c r="X25" s="7">
        <f t="shared" si="3"/>
        <v>0</v>
      </c>
      <c r="Y25" s="7">
        <f t="shared" si="3"/>
        <v>0</v>
      </c>
      <c r="Z25" s="7">
        <f t="shared" si="3"/>
        <v>1</v>
      </c>
      <c r="AA25" s="7">
        <f t="shared" si="3"/>
        <v>1</v>
      </c>
      <c r="AB25" s="7">
        <f t="shared" si="5"/>
        <v>0</v>
      </c>
      <c r="AC25" s="7">
        <f t="shared" si="5"/>
        <v>1</v>
      </c>
      <c r="AD25" s="7">
        <f t="shared" si="5"/>
        <v>1</v>
      </c>
      <c r="AE25" s="7">
        <f t="shared" si="4"/>
        <v>0</v>
      </c>
      <c r="AF25" s="7">
        <f t="shared" si="4"/>
        <v>0</v>
      </c>
      <c r="AG25" s="7">
        <f t="shared" si="4"/>
        <v>0</v>
      </c>
      <c r="AH25" s="7">
        <f t="shared" si="4"/>
        <v>0</v>
      </c>
      <c r="AI25" s="7">
        <f t="shared" si="4"/>
        <v>0</v>
      </c>
      <c r="AJ25" s="7">
        <f t="shared" si="4"/>
        <v>1</v>
      </c>
      <c r="AK25" s="7">
        <f t="shared" si="4"/>
        <v>0</v>
      </c>
      <c r="AL25" s="7">
        <f t="shared" si="4"/>
        <v>1</v>
      </c>
      <c r="AM25" s="7">
        <f t="shared" si="4"/>
        <v>1</v>
      </c>
      <c r="AN25" s="7">
        <f t="shared" si="4"/>
        <v>0</v>
      </c>
      <c r="AO25" s="7">
        <f t="shared" si="4"/>
        <v>0</v>
      </c>
      <c r="AP25" s="17">
        <f t="shared" si="2"/>
        <v>3</v>
      </c>
      <c r="AS25" s="56"/>
      <c r="AT25" t="s">
        <v>142</v>
      </c>
    </row>
    <row r="26" spans="1:46" ht="12.75" x14ac:dyDescent="0.2">
      <c r="A26" s="7" t="s">
        <v>100</v>
      </c>
      <c r="B26" s="16" t="s">
        <v>45</v>
      </c>
      <c r="C26" s="16" t="s">
        <v>47</v>
      </c>
      <c r="D26" s="16" t="s">
        <v>46</v>
      </c>
      <c r="E26" s="16" t="s">
        <v>47</v>
      </c>
      <c r="F26" s="16" t="s">
        <v>45</v>
      </c>
      <c r="G26" s="16" t="s">
        <v>47</v>
      </c>
      <c r="H26" s="16" t="s">
        <v>48</v>
      </c>
      <c r="I26" s="16" t="s">
        <v>48</v>
      </c>
      <c r="J26" s="16" t="s">
        <v>45</v>
      </c>
      <c r="K26" s="16" t="s">
        <v>47</v>
      </c>
      <c r="L26" s="16" t="s">
        <v>48</v>
      </c>
      <c r="M26" s="16" t="s">
        <v>46</v>
      </c>
      <c r="N26" s="16" t="s">
        <v>45</v>
      </c>
      <c r="O26" s="16" t="s">
        <v>47</v>
      </c>
      <c r="P26" s="16" t="s">
        <v>45</v>
      </c>
      <c r="Q26" s="16" t="s">
        <v>45</v>
      </c>
      <c r="R26" s="16" t="s">
        <v>47</v>
      </c>
      <c r="S26" s="16" t="s">
        <v>45</v>
      </c>
      <c r="T26" s="16" t="s">
        <v>46</v>
      </c>
      <c r="U26" s="16" t="s">
        <v>48</v>
      </c>
      <c r="V26" s="7">
        <f t="shared" si="3"/>
        <v>1</v>
      </c>
      <c r="W26" s="7">
        <f t="shared" si="3"/>
        <v>0</v>
      </c>
      <c r="X26" s="7">
        <f t="shared" si="3"/>
        <v>1</v>
      </c>
      <c r="Y26" s="7">
        <f t="shared" si="3"/>
        <v>1</v>
      </c>
      <c r="Z26" s="7">
        <f t="shared" si="3"/>
        <v>0</v>
      </c>
      <c r="AA26" s="7">
        <f t="shared" si="3"/>
        <v>0</v>
      </c>
      <c r="AB26" s="7">
        <f t="shared" si="5"/>
        <v>0</v>
      </c>
      <c r="AC26" s="7">
        <f t="shared" si="5"/>
        <v>0</v>
      </c>
      <c r="AD26" s="7">
        <f t="shared" si="5"/>
        <v>1</v>
      </c>
      <c r="AE26" s="7">
        <f t="shared" si="4"/>
        <v>0</v>
      </c>
      <c r="AF26" s="7">
        <f t="shared" si="4"/>
        <v>0</v>
      </c>
      <c r="AG26" s="7">
        <f t="shared" si="4"/>
        <v>0</v>
      </c>
      <c r="AH26" s="7">
        <f t="shared" si="4"/>
        <v>1</v>
      </c>
      <c r="AI26" s="7">
        <f t="shared" si="4"/>
        <v>0</v>
      </c>
      <c r="AJ26" s="7">
        <f t="shared" si="4"/>
        <v>0</v>
      </c>
      <c r="AK26" s="7">
        <f t="shared" si="4"/>
        <v>0</v>
      </c>
      <c r="AL26" s="7">
        <f t="shared" si="4"/>
        <v>0</v>
      </c>
      <c r="AM26" s="7">
        <f t="shared" si="4"/>
        <v>0</v>
      </c>
      <c r="AN26" s="7">
        <f t="shared" si="4"/>
        <v>0</v>
      </c>
      <c r="AO26" s="7">
        <f t="shared" si="4"/>
        <v>0</v>
      </c>
      <c r="AP26" s="17">
        <f t="shared" si="2"/>
        <v>2.25</v>
      </c>
      <c r="AS26" s="56"/>
      <c r="AT26" t="s">
        <v>142</v>
      </c>
    </row>
    <row r="27" spans="1:46" ht="12.75" x14ac:dyDescent="0.2">
      <c r="A27" s="7" t="s">
        <v>101</v>
      </c>
      <c r="B27" s="16" t="s">
        <v>45</v>
      </c>
      <c r="C27" s="16" t="s">
        <v>47</v>
      </c>
      <c r="D27" s="16" t="s">
        <v>46</v>
      </c>
      <c r="E27" s="16" t="s">
        <v>46</v>
      </c>
      <c r="F27" s="16" t="s">
        <v>46</v>
      </c>
      <c r="G27" s="16" t="s">
        <v>47</v>
      </c>
      <c r="H27" s="16" t="s">
        <v>48</v>
      </c>
      <c r="I27" s="16" t="s">
        <v>48</v>
      </c>
      <c r="J27" s="16" t="s">
        <v>47</v>
      </c>
      <c r="K27" s="16" t="s">
        <v>47</v>
      </c>
      <c r="L27" s="16" t="s">
        <v>48</v>
      </c>
      <c r="M27" s="16" t="s">
        <v>47</v>
      </c>
      <c r="N27" s="16" t="s">
        <v>48</v>
      </c>
      <c r="O27" s="16" t="s">
        <v>47</v>
      </c>
      <c r="P27" s="16" t="s">
        <v>48</v>
      </c>
      <c r="Q27" s="16" t="s">
        <v>45</v>
      </c>
      <c r="R27" s="16" t="s">
        <v>47</v>
      </c>
      <c r="S27" s="16" t="s">
        <v>47</v>
      </c>
      <c r="T27" s="16" t="s">
        <v>47</v>
      </c>
      <c r="U27" s="16" t="s">
        <v>48</v>
      </c>
      <c r="V27" s="7">
        <f t="shared" si="3"/>
        <v>1</v>
      </c>
      <c r="W27" s="7">
        <f t="shared" si="3"/>
        <v>0</v>
      </c>
      <c r="X27" s="7">
        <f t="shared" si="3"/>
        <v>1</v>
      </c>
      <c r="Y27" s="7">
        <f t="shared" si="3"/>
        <v>0</v>
      </c>
      <c r="Z27" s="7">
        <f t="shared" si="3"/>
        <v>0</v>
      </c>
      <c r="AA27" s="7">
        <f t="shared" si="3"/>
        <v>0</v>
      </c>
      <c r="AB27" s="7">
        <f t="shared" si="5"/>
        <v>0</v>
      </c>
      <c r="AC27" s="7">
        <f t="shared" si="5"/>
        <v>0</v>
      </c>
      <c r="AD27" s="7">
        <f t="shared" si="5"/>
        <v>0</v>
      </c>
      <c r="AE27" s="7">
        <f t="shared" si="4"/>
        <v>0</v>
      </c>
      <c r="AF27" s="7">
        <f t="shared" si="4"/>
        <v>0</v>
      </c>
      <c r="AG27" s="7">
        <f t="shared" si="4"/>
        <v>0</v>
      </c>
      <c r="AH27" s="7">
        <f t="shared" si="4"/>
        <v>0</v>
      </c>
      <c r="AI27" s="7">
        <f t="shared" si="4"/>
        <v>0</v>
      </c>
      <c r="AJ27" s="7">
        <f t="shared" si="4"/>
        <v>1</v>
      </c>
      <c r="AK27" s="7">
        <f t="shared" si="4"/>
        <v>0</v>
      </c>
      <c r="AL27" s="7">
        <f t="shared" si="4"/>
        <v>0</v>
      </c>
      <c r="AM27" s="7">
        <f t="shared" si="4"/>
        <v>1</v>
      </c>
      <c r="AN27" s="7">
        <f t="shared" si="4"/>
        <v>0</v>
      </c>
      <c r="AO27" s="7">
        <f t="shared" si="4"/>
        <v>0</v>
      </c>
      <c r="AP27" s="17">
        <f t="shared" si="2"/>
        <v>2</v>
      </c>
      <c r="AS27" s="56"/>
      <c r="AT27" t="s">
        <v>142</v>
      </c>
    </row>
    <row r="28" spans="1:46" ht="12.75" x14ac:dyDescent="0.2">
      <c r="A28" s="7" t="s">
        <v>102</v>
      </c>
      <c r="B28" s="16" t="s">
        <v>47</v>
      </c>
      <c r="C28" s="16" t="s">
        <v>45</v>
      </c>
      <c r="D28" s="16" t="s">
        <v>46</v>
      </c>
      <c r="E28" s="16" t="s">
        <v>46</v>
      </c>
      <c r="F28" s="16" t="s">
        <v>45</v>
      </c>
      <c r="G28" s="16" t="s">
        <v>47</v>
      </c>
      <c r="H28" s="16" t="s">
        <v>45</v>
      </c>
      <c r="I28" s="16" t="s">
        <v>48</v>
      </c>
      <c r="J28" s="16" t="s">
        <v>46</v>
      </c>
      <c r="K28" s="16" t="s">
        <v>48</v>
      </c>
      <c r="L28" s="16" t="s">
        <v>46</v>
      </c>
      <c r="M28" s="16" t="s">
        <v>46</v>
      </c>
      <c r="N28" s="16" t="s">
        <v>48</v>
      </c>
      <c r="O28" s="16" t="s">
        <v>48</v>
      </c>
      <c r="P28" s="16" t="s">
        <v>46</v>
      </c>
      <c r="Q28" s="16" t="s">
        <v>45</v>
      </c>
      <c r="R28" s="16" t="s">
        <v>47</v>
      </c>
      <c r="S28" s="16" t="s">
        <v>46</v>
      </c>
      <c r="T28" s="16" t="s">
        <v>47</v>
      </c>
      <c r="U28" s="16" t="s">
        <v>45</v>
      </c>
      <c r="V28" s="7">
        <f t="shared" si="3"/>
        <v>0</v>
      </c>
      <c r="W28" s="7">
        <f t="shared" si="3"/>
        <v>1</v>
      </c>
      <c r="X28" s="7">
        <f t="shared" si="3"/>
        <v>1</v>
      </c>
      <c r="Y28" s="7">
        <f t="shared" si="3"/>
        <v>0</v>
      </c>
      <c r="Z28" s="7">
        <f t="shared" si="3"/>
        <v>0</v>
      </c>
      <c r="AA28" s="7">
        <f t="shared" si="3"/>
        <v>0</v>
      </c>
      <c r="AB28" s="7">
        <f t="shared" si="5"/>
        <v>1</v>
      </c>
      <c r="AC28" s="7">
        <f t="shared" si="5"/>
        <v>0</v>
      </c>
      <c r="AD28" s="7">
        <f t="shared" si="5"/>
        <v>0</v>
      </c>
      <c r="AE28" s="7">
        <f t="shared" si="4"/>
        <v>0</v>
      </c>
      <c r="AF28" s="7">
        <f t="shared" si="4"/>
        <v>0</v>
      </c>
      <c r="AG28" s="7">
        <f t="shared" si="4"/>
        <v>0</v>
      </c>
      <c r="AH28" s="7">
        <f t="shared" si="4"/>
        <v>0</v>
      </c>
      <c r="AI28" s="7">
        <f t="shared" si="4"/>
        <v>0</v>
      </c>
      <c r="AJ28" s="7">
        <f t="shared" si="4"/>
        <v>0</v>
      </c>
      <c r="AK28" s="7">
        <f t="shared" si="4"/>
        <v>0</v>
      </c>
      <c r="AL28" s="7">
        <f t="shared" si="4"/>
        <v>0</v>
      </c>
      <c r="AM28" s="7">
        <f t="shared" si="4"/>
        <v>0</v>
      </c>
      <c r="AN28" s="7">
        <f t="shared" si="4"/>
        <v>0</v>
      </c>
      <c r="AO28" s="7">
        <f t="shared" si="4"/>
        <v>0</v>
      </c>
      <c r="AP28" s="17">
        <f t="shared" si="2"/>
        <v>1.75</v>
      </c>
      <c r="AS28" s="56"/>
      <c r="AT28" t="s">
        <v>142</v>
      </c>
    </row>
    <row r="29" spans="1:46" ht="12.75" x14ac:dyDescent="0.2">
      <c r="A29" s="7" t="s">
        <v>103</v>
      </c>
      <c r="B29" s="16" t="s">
        <v>47</v>
      </c>
      <c r="C29" s="16" t="s">
        <v>47</v>
      </c>
      <c r="D29" s="16" t="s">
        <v>48</v>
      </c>
      <c r="E29" s="16" t="s">
        <v>47</v>
      </c>
      <c r="F29" s="16" t="s">
        <v>48</v>
      </c>
      <c r="G29" s="16" t="s">
        <v>48</v>
      </c>
      <c r="H29" s="16" t="s">
        <v>46</v>
      </c>
      <c r="I29" s="16" t="s">
        <v>48</v>
      </c>
      <c r="J29" s="16" t="s">
        <v>47</v>
      </c>
      <c r="K29" s="16" t="s">
        <v>48</v>
      </c>
      <c r="L29" s="16" t="s">
        <v>46</v>
      </c>
      <c r="M29" s="16" t="s">
        <v>48</v>
      </c>
      <c r="N29" s="16" t="s">
        <v>48</v>
      </c>
      <c r="O29" s="16" t="s">
        <v>48</v>
      </c>
      <c r="P29" s="16" t="s">
        <v>47</v>
      </c>
      <c r="Q29" s="16" t="s">
        <v>45</v>
      </c>
      <c r="R29" s="16" t="s">
        <v>47</v>
      </c>
      <c r="S29" s="16" t="s">
        <v>46</v>
      </c>
      <c r="T29" s="16" t="s">
        <v>46</v>
      </c>
      <c r="U29" s="16" t="s">
        <v>47</v>
      </c>
      <c r="V29" s="7">
        <f t="shared" si="3"/>
        <v>0</v>
      </c>
      <c r="W29" s="7">
        <f t="shared" si="3"/>
        <v>0</v>
      </c>
      <c r="X29" s="7">
        <f t="shared" si="3"/>
        <v>0</v>
      </c>
      <c r="Y29" s="7">
        <f t="shared" si="3"/>
        <v>1</v>
      </c>
      <c r="Z29" s="7">
        <f t="shared" si="3"/>
        <v>0</v>
      </c>
      <c r="AA29" s="7">
        <f t="shared" si="3"/>
        <v>0</v>
      </c>
      <c r="AB29" s="7">
        <f t="shared" si="5"/>
        <v>0</v>
      </c>
      <c r="AC29" s="7">
        <f t="shared" si="5"/>
        <v>0</v>
      </c>
      <c r="AD29" s="7">
        <f t="shared" si="5"/>
        <v>0</v>
      </c>
      <c r="AE29" s="7">
        <f t="shared" si="4"/>
        <v>0</v>
      </c>
      <c r="AF29" s="7">
        <f t="shared" si="4"/>
        <v>0</v>
      </c>
      <c r="AG29" s="7">
        <f t="shared" si="4"/>
        <v>1</v>
      </c>
      <c r="AH29" s="7">
        <f t="shared" si="4"/>
        <v>0</v>
      </c>
      <c r="AI29" s="7">
        <f t="shared" si="4"/>
        <v>0</v>
      </c>
      <c r="AJ29" s="7">
        <f t="shared" si="4"/>
        <v>0</v>
      </c>
      <c r="AK29" s="7">
        <f t="shared" si="4"/>
        <v>0</v>
      </c>
      <c r="AL29" s="7">
        <f t="shared" si="4"/>
        <v>0</v>
      </c>
      <c r="AM29" s="7">
        <f t="shared" si="4"/>
        <v>0</v>
      </c>
      <c r="AN29" s="7">
        <f t="shared" si="4"/>
        <v>0</v>
      </c>
      <c r="AO29" s="7">
        <f t="shared" si="4"/>
        <v>0</v>
      </c>
      <c r="AP29" s="17">
        <f t="shared" si="2"/>
        <v>1.5</v>
      </c>
      <c r="AS29" s="56"/>
      <c r="AT29" t="s">
        <v>142</v>
      </c>
    </row>
    <row r="30" spans="1:46" ht="12.75" x14ac:dyDescent="0.2">
      <c r="A30" s="7" t="s">
        <v>104</v>
      </c>
      <c r="B30" s="16" t="s">
        <v>45</v>
      </c>
      <c r="C30" s="16" t="s">
        <v>46</v>
      </c>
      <c r="D30" s="16" t="s">
        <v>47</v>
      </c>
      <c r="E30" s="16" t="s">
        <v>48</v>
      </c>
      <c r="F30" s="16" t="s">
        <v>45</v>
      </c>
      <c r="G30" s="16" t="s">
        <v>47</v>
      </c>
      <c r="H30" s="16" t="s">
        <v>46</v>
      </c>
      <c r="I30" s="16" t="s">
        <v>48</v>
      </c>
      <c r="J30" s="16" t="s">
        <v>45</v>
      </c>
      <c r="K30" s="16" t="s">
        <v>46</v>
      </c>
      <c r="L30" s="16" t="s">
        <v>45</v>
      </c>
      <c r="M30" s="16" t="s">
        <v>48</v>
      </c>
      <c r="N30" s="16" t="s">
        <v>47</v>
      </c>
      <c r="O30" s="16" t="s">
        <v>48</v>
      </c>
      <c r="P30" s="16" t="s">
        <v>48</v>
      </c>
      <c r="Q30" s="16" t="s">
        <v>46</v>
      </c>
      <c r="R30" s="16" t="s">
        <v>48</v>
      </c>
      <c r="S30" s="16" t="s">
        <v>45</v>
      </c>
      <c r="T30" s="16" t="s">
        <v>46</v>
      </c>
      <c r="U30" s="16" t="s">
        <v>47</v>
      </c>
      <c r="V30" s="7">
        <f t="shared" si="3"/>
        <v>1</v>
      </c>
      <c r="W30" s="7">
        <f t="shared" si="3"/>
        <v>0</v>
      </c>
      <c r="X30" s="7">
        <f t="shared" si="3"/>
        <v>0</v>
      </c>
      <c r="Y30" s="7">
        <f t="shared" si="3"/>
        <v>0</v>
      </c>
      <c r="Z30" s="7">
        <f t="shared" si="3"/>
        <v>0</v>
      </c>
      <c r="AA30" s="7">
        <f t="shared" si="3"/>
        <v>0</v>
      </c>
      <c r="AB30" s="7">
        <f t="shared" si="5"/>
        <v>0</v>
      </c>
      <c r="AC30" s="7">
        <f t="shared" si="5"/>
        <v>0</v>
      </c>
      <c r="AD30" s="7">
        <f t="shared" si="5"/>
        <v>1</v>
      </c>
      <c r="AE30" s="7">
        <f t="shared" si="4"/>
        <v>0</v>
      </c>
      <c r="AF30" s="7">
        <f t="shared" si="4"/>
        <v>1</v>
      </c>
      <c r="AG30" s="7">
        <f t="shared" si="4"/>
        <v>1</v>
      </c>
      <c r="AH30" s="7">
        <f t="shared" si="4"/>
        <v>0</v>
      </c>
      <c r="AI30" s="7">
        <f t="shared" si="4"/>
        <v>0</v>
      </c>
      <c r="AJ30" s="7">
        <f t="shared" si="4"/>
        <v>1</v>
      </c>
      <c r="AK30" s="7">
        <f t="shared" si="4"/>
        <v>1</v>
      </c>
      <c r="AL30" s="7">
        <f t="shared" si="4"/>
        <v>0</v>
      </c>
      <c r="AM30" s="7">
        <f t="shared" si="4"/>
        <v>0</v>
      </c>
      <c r="AN30" s="7">
        <f t="shared" si="4"/>
        <v>0</v>
      </c>
      <c r="AO30" s="7">
        <f t="shared" si="4"/>
        <v>0</v>
      </c>
      <c r="AP30" s="17">
        <f t="shared" si="2"/>
        <v>2.5</v>
      </c>
      <c r="AS30" s="56"/>
      <c r="AT30" t="s">
        <v>142</v>
      </c>
    </row>
    <row r="31" spans="1:46" ht="12.75" x14ac:dyDescent="0.2">
      <c r="A31" s="7" t="s">
        <v>105</v>
      </c>
      <c r="B31" s="16" t="s">
        <v>45</v>
      </c>
      <c r="C31" s="16" t="s">
        <v>46</v>
      </c>
      <c r="D31" s="16" t="s">
        <v>47</v>
      </c>
      <c r="E31" s="16" t="s">
        <v>47</v>
      </c>
      <c r="F31" s="16" t="s">
        <v>45</v>
      </c>
      <c r="G31" s="16" t="s">
        <v>48</v>
      </c>
      <c r="H31" s="16" t="s">
        <v>46</v>
      </c>
      <c r="I31" s="16" t="s">
        <v>48</v>
      </c>
      <c r="J31" s="16" t="s">
        <v>47</v>
      </c>
      <c r="K31" s="16" t="s">
        <v>45</v>
      </c>
      <c r="L31" s="16" t="s">
        <v>48</v>
      </c>
      <c r="M31" s="16" t="s">
        <v>45</v>
      </c>
      <c r="N31" s="16" t="s">
        <v>45</v>
      </c>
      <c r="O31" s="16" t="s">
        <v>48</v>
      </c>
      <c r="P31" s="16" t="s">
        <v>45</v>
      </c>
      <c r="Q31" s="16" t="s">
        <v>46</v>
      </c>
      <c r="R31" s="16" t="s">
        <v>45</v>
      </c>
      <c r="S31" s="16" t="s">
        <v>46</v>
      </c>
      <c r="T31" s="16" t="s">
        <v>47</v>
      </c>
      <c r="U31" s="16" t="s">
        <v>45</v>
      </c>
      <c r="V31" s="7">
        <f t="shared" si="3"/>
        <v>1</v>
      </c>
      <c r="W31" s="7">
        <f t="shared" si="3"/>
        <v>0</v>
      </c>
      <c r="X31" s="7">
        <f t="shared" si="3"/>
        <v>0</v>
      </c>
      <c r="Y31" s="7">
        <f t="shared" si="3"/>
        <v>1</v>
      </c>
      <c r="Z31" s="7">
        <f t="shared" si="3"/>
        <v>0</v>
      </c>
      <c r="AA31" s="7">
        <f t="shared" si="3"/>
        <v>0</v>
      </c>
      <c r="AB31" s="7">
        <f t="shared" si="5"/>
        <v>0</v>
      </c>
      <c r="AC31" s="7">
        <f t="shared" si="5"/>
        <v>0</v>
      </c>
      <c r="AD31" s="7">
        <f t="shared" si="5"/>
        <v>0</v>
      </c>
      <c r="AE31" s="7">
        <f t="shared" si="4"/>
        <v>1</v>
      </c>
      <c r="AF31" s="7">
        <f t="shared" si="4"/>
        <v>0</v>
      </c>
      <c r="AG31" s="7">
        <f t="shared" si="4"/>
        <v>0</v>
      </c>
      <c r="AH31" s="7">
        <f t="shared" si="4"/>
        <v>1</v>
      </c>
      <c r="AI31" s="7">
        <f t="shared" si="4"/>
        <v>0</v>
      </c>
      <c r="AJ31" s="7">
        <f t="shared" si="4"/>
        <v>0</v>
      </c>
      <c r="AK31" s="7">
        <f t="shared" si="4"/>
        <v>1</v>
      </c>
      <c r="AL31" s="7">
        <f t="shared" si="4"/>
        <v>1</v>
      </c>
      <c r="AM31" s="7">
        <f t="shared" si="4"/>
        <v>0</v>
      </c>
      <c r="AN31" s="7">
        <f t="shared" si="4"/>
        <v>0</v>
      </c>
      <c r="AO31" s="7">
        <f t="shared" si="4"/>
        <v>0</v>
      </c>
      <c r="AP31" s="17">
        <f t="shared" si="2"/>
        <v>2.5</v>
      </c>
      <c r="AS31" s="56"/>
      <c r="AT31" t="s">
        <v>142</v>
      </c>
    </row>
    <row r="32" spans="1:46" ht="12.75" x14ac:dyDescent="0.2">
      <c r="A32" s="7" t="s">
        <v>106</v>
      </c>
      <c r="B32" s="16" t="s">
        <v>45</v>
      </c>
      <c r="C32" s="16" t="s">
        <v>48</v>
      </c>
      <c r="D32" s="16" t="s">
        <v>47</v>
      </c>
      <c r="E32" s="16" t="s">
        <v>47</v>
      </c>
      <c r="F32" s="16" t="s">
        <v>45</v>
      </c>
      <c r="G32" s="16" t="s">
        <v>45</v>
      </c>
      <c r="H32" s="16" t="s">
        <v>45</v>
      </c>
      <c r="I32" s="16" t="s">
        <v>48</v>
      </c>
      <c r="J32" s="16" t="s">
        <v>45</v>
      </c>
      <c r="K32" s="16" t="s">
        <v>47</v>
      </c>
      <c r="L32" s="16" t="s">
        <v>48</v>
      </c>
      <c r="M32" s="16" t="s">
        <v>46</v>
      </c>
      <c r="N32" s="16" t="s">
        <v>45</v>
      </c>
      <c r="O32" s="16" t="s">
        <v>48</v>
      </c>
      <c r="P32" s="16" t="s">
        <v>46</v>
      </c>
      <c r="Q32" s="16" t="s">
        <v>45</v>
      </c>
      <c r="R32" s="16" t="s">
        <v>47</v>
      </c>
      <c r="S32" s="16" t="s">
        <v>47</v>
      </c>
      <c r="T32" s="16" t="s">
        <v>45</v>
      </c>
      <c r="U32" s="16" t="s">
        <v>48</v>
      </c>
      <c r="V32" s="7">
        <f t="shared" si="3"/>
        <v>1</v>
      </c>
      <c r="W32" s="7">
        <f t="shared" si="3"/>
        <v>0</v>
      </c>
      <c r="X32" s="7">
        <f t="shared" si="3"/>
        <v>0</v>
      </c>
      <c r="Y32" s="7">
        <f t="shared" si="3"/>
        <v>1</v>
      </c>
      <c r="Z32" s="7">
        <f t="shared" si="3"/>
        <v>0</v>
      </c>
      <c r="AA32" s="7">
        <f t="shared" si="3"/>
        <v>1</v>
      </c>
      <c r="AB32" s="7">
        <f t="shared" si="5"/>
        <v>1</v>
      </c>
      <c r="AC32" s="7">
        <f t="shared" si="5"/>
        <v>0</v>
      </c>
      <c r="AD32" s="7">
        <f t="shared" si="5"/>
        <v>1</v>
      </c>
      <c r="AE32" s="7">
        <f t="shared" si="4"/>
        <v>0</v>
      </c>
      <c r="AF32" s="7">
        <f t="shared" si="4"/>
        <v>0</v>
      </c>
      <c r="AG32" s="7">
        <f t="shared" si="4"/>
        <v>0</v>
      </c>
      <c r="AH32" s="7">
        <f t="shared" si="4"/>
        <v>1</v>
      </c>
      <c r="AI32" s="7">
        <f t="shared" si="4"/>
        <v>0</v>
      </c>
      <c r="AJ32" s="7">
        <f t="shared" si="4"/>
        <v>0</v>
      </c>
      <c r="AK32" s="7">
        <f t="shared" si="4"/>
        <v>0</v>
      </c>
      <c r="AL32" s="7">
        <f t="shared" si="4"/>
        <v>0</v>
      </c>
      <c r="AM32" s="7">
        <f t="shared" si="4"/>
        <v>1</v>
      </c>
      <c r="AN32" s="7">
        <f t="shared" si="4"/>
        <v>0</v>
      </c>
      <c r="AO32" s="7">
        <f t="shared" si="4"/>
        <v>0</v>
      </c>
      <c r="AP32" s="17">
        <f t="shared" si="2"/>
        <v>2.75</v>
      </c>
      <c r="AS32" s="56"/>
      <c r="AT32" t="s">
        <v>142</v>
      </c>
    </row>
    <row r="33" spans="1:46" ht="12.75" x14ac:dyDescent="0.2">
      <c r="A33" s="7" t="s">
        <v>107</v>
      </c>
      <c r="B33" s="16" t="s">
        <v>47</v>
      </c>
      <c r="C33" s="16" t="s">
        <v>45</v>
      </c>
      <c r="D33" s="16" t="s">
        <v>47</v>
      </c>
      <c r="E33" s="16" t="s">
        <v>47</v>
      </c>
      <c r="F33" s="16" t="s">
        <v>47</v>
      </c>
      <c r="G33" s="16" t="s">
        <v>45</v>
      </c>
      <c r="H33" s="16" t="s">
        <v>48</v>
      </c>
      <c r="I33" s="16" t="s">
        <v>48</v>
      </c>
      <c r="J33" s="16" t="s">
        <v>45</v>
      </c>
      <c r="K33" s="16" t="s">
        <v>47</v>
      </c>
      <c r="L33" s="16" t="s">
        <v>48</v>
      </c>
      <c r="M33" s="16" t="s">
        <v>46</v>
      </c>
      <c r="N33" s="16" t="s">
        <v>48</v>
      </c>
      <c r="O33" s="16" t="s">
        <v>47</v>
      </c>
      <c r="P33" s="16" t="s">
        <v>47</v>
      </c>
      <c r="Q33" s="16" t="s">
        <v>45</v>
      </c>
      <c r="R33" s="16" t="s">
        <v>47</v>
      </c>
      <c r="S33" s="16" t="s">
        <v>47</v>
      </c>
      <c r="T33" s="16" t="s">
        <v>45</v>
      </c>
      <c r="U33" s="16" t="s">
        <v>47</v>
      </c>
      <c r="V33" s="7">
        <f t="shared" si="3"/>
        <v>0</v>
      </c>
      <c r="W33" s="7">
        <f t="shared" si="3"/>
        <v>1</v>
      </c>
      <c r="X33" s="7">
        <f t="shared" si="3"/>
        <v>0</v>
      </c>
      <c r="Y33" s="7">
        <f t="shared" si="3"/>
        <v>1</v>
      </c>
      <c r="Z33" s="7">
        <f t="shared" si="3"/>
        <v>1</v>
      </c>
      <c r="AA33" s="7">
        <f t="shared" si="3"/>
        <v>1</v>
      </c>
      <c r="AB33" s="7">
        <f t="shared" si="5"/>
        <v>0</v>
      </c>
      <c r="AC33" s="7">
        <f t="shared" si="5"/>
        <v>0</v>
      </c>
      <c r="AD33" s="7">
        <f t="shared" si="5"/>
        <v>1</v>
      </c>
      <c r="AE33" s="7">
        <f t="shared" si="4"/>
        <v>0</v>
      </c>
      <c r="AF33" s="7">
        <f t="shared" si="4"/>
        <v>0</v>
      </c>
      <c r="AG33" s="7">
        <f t="shared" si="4"/>
        <v>0</v>
      </c>
      <c r="AH33" s="7">
        <f t="shared" si="4"/>
        <v>0</v>
      </c>
      <c r="AI33" s="7">
        <f t="shared" si="4"/>
        <v>0</v>
      </c>
      <c r="AJ33" s="7">
        <f t="shared" si="4"/>
        <v>0</v>
      </c>
      <c r="AK33" s="7">
        <f t="shared" si="4"/>
        <v>0</v>
      </c>
      <c r="AL33" s="7">
        <f t="shared" si="4"/>
        <v>0</v>
      </c>
      <c r="AM33" s="7">
        <f t="shared" si="4"/>
        <v>1</v>
      </c>
      <c r="AN33" s="7">
        <f t="shared" si="4"/>
        <v>0</v>
      </c>
      <c r="AO33" s="7">
        <f t="shared" si="4"/>
        <v>0</v>
      </c>
      <c r="AP33" s="17">
        <f t="shared" si="2"/>
        <v>2.5</v>
      </c>
      <c r="AS33" s="56"/>
      <c r="AT33" t="s">
        <v>142</v>
      </c>
    </row>
    <row r="34" spans="1:46" ht="12.75" x14ac:dyDescent="0.2">
      <c r="A34" s="7" t="s">
        <v>108</v>
      </c>
      <c r="B34" s="16" t="s">
        <v>45</v>
      </c>
      <c r="C34" s="16" t="s">
        <v>47</v>
      </c>
      <c r="D34" s="16" t="s">
        <v>46</v>
      </c>
      <c r="E34" s="16" t="s">
        <v>45</v>
      </c>
      <c r="F34" s="16" t="s">
        <v>47</v>
      </c>
      <c r="G34" s="16" t="s">
        <v>47</v>
      </c>
      <c r="H34" s="16" t="s">
        <v>48</v>
      </c>
      <c r="I34" s="16" t="s">
        <v>48</v>
      </c>
      <c r="J34" s="16" t="s">
        <v>47</v>
      </c>
      <c r="K34" s="16" t="s">
        <v>46</v>
      </c>
      <c r="L34" s="16" t="s">
        <v>47</v>
      </c>
      <c r="M34" s="16" t="s">
        <v>48</v>
      </c>
      <c r="N34" s="16" t="s">
        <v>47</v>
      </c>
      <c r="O34" s="16" t="s">
        <v>48</v>
      </c>
      <c r="P34" s="16" t="s">
        <v>47</v>
      </c>
      <c r="Q34" s="16" t="s">
        <v>46</v>
      </c>
      <c r="R34" s="16" t="s">
        <v>45</v>
      </c>
      <c r="S34" s="16" t="s">
        <v>45</v>
      </c>
      <c r="T34" s="16" t="s">
        <v>45</v>
      </c>
      <c r="U34" s="16" t="s">
        <v>46</v>
      </c>
      <c r="V34" s="7">
        <f t="shared" si="3"/>
        <v>1</v>
      </c>
      <c r="W34" s="7">
        <f t="shared" si="3"/>
        <v>0</v>
      </c>
      <c r="X34" s="7">
        <f t="shared" si="3"/>
        <v>1</v>
      </c>
      <c r="Y34" s="7">
        <f t="shared" si="3"/>
        <v>0</v>
      </c>
      <c r="Z34" s="7">
        <f t="shared" si="3"/>
        <v>1</v>
      </c>
      <c r="AA34" s="7">
        <f t="shared" si="3"/>
        <v>0</v>
      </c>
      <c r="AB34" s="7">
        <f t="shared" si="5"/>
        <v>0</v>
      </c>
      <c r="AC34" s="7">
        <f t="shared" si="5"/>
        <v>0</v>
      </c>
      <c r="AD34" s="7">
        <f t="shared" si="5"/>
        <v>0</v>
      </c>
      <c r="AE34" s="7">
        <f t="shared" si="4"/>
        <v>0</v>
      </c>
      <c r="AF34" s="7">
        <f t="shared" si="4"/>
        <v>0</v>
      </c>
      <c r="AG34" s="7">
        <f t="shared" si="4"/>
        <v>1</v>
      </c>
      <c r="AH34" s="7">
        <f t="shared" si="4"/>
        <v>0</v>
      </c>
      <c r="AI34" s="7">
        <f t="shared" si="4"/>
        <v>0</v>
      </c>
      <c r="AJ34" s="7">
        <f t="shared" si="4"/>
        <v>0</v>
      </c>
      <c r="AK34" s="7">
        <f t="shared" si="4"/>
        <v>1</v>
      </c>
      <c r="AL34" s="7">
        <f t="shared" si="4"/>
        <v>1</v>
      </c>
      <c r="AM34" s="7">
        <f t="shared" si="4"/>
        <v>0</v>
      </c>
      <c r="AN34" s="7">
        <f t="shared" si="4"/>
        <v>0</v>
      </c>
      <c r="AO34" s="7">
        <f t="shared" si="4"/>
        <v>1</v>
      </c>
      <c r="AP34" s="17">
        <f t="shared" si="2"/>
        <v>2.75</v>
      </c>
      <c r="AS34" s="56"/>
      <c r="AT34" t="s">
        <v>142</v>
      </c>
    </row>
    <row r="35" spans="1:46" ht="13.5" thickBot="1" x14ac:dyDescent="0.25">
      <c r="A35" s="7" t="s">
        <v>143</v>
      </c>
      <c r="B35" s="16" t="s">
        <v>47</v>
      </c>
      <c r="C35" s="16" t="s">
        <v>46</v>
      </c>
      <c r="D35" s="16" t="s">
        <v>46</v>
      </c>
      <c r="E35" s="16" t="s">
        <v>48</v>
      </c>
      <c r="F35" s="16" t="s">
        <v>45</v>
      </c>
      <c r="G35" s="16" t="s">
        <v>47</v>
      </c>
      <c r="H35" s="16" t="s">
        <v>46</v>
      </c>
      <c r="I35" s="16" t="s">
        <v>46</v>
      </c>
      <c r="J35" s="16" t="s">
        <v>47</v>
      </c>
      <c r="K35" s="16" t="s">
        <v>45</v>
      </c>
      <c r="L35" s="16" t="s">
        <v>47</v>
      </c>
      <c r="M35" s="16" t="s">
        <v>48</v>
      </c>
      <c r="N35" s="16" t="s">
        <v>48</v>
      </c>
      <c r="O35" s="16" t="s">
        <v>47</v>
      </c>
      <c r="P35" s="16" t="s">
        <v>46</v>
      </c>
      <c r="Q35" s="16" t="s">
        <v>47</v>
      </c>
      <c r="R35" s="16" t="s">
        <v>46</v>
      </c>
      <c r="S35" s="16" t="s">
        <v>48</v>
      </c>
      <c r="T35" s="16" t="s">
        <v>46</v>
      </c>
      <c r="U35" s="16" t="s">
        <v>45</v>
      </c>
      <c r="V35" s="7">
        <f t="shared" si="3"/>
        <v>0</v>
      </c>
      <c r="W35" s="7">
        <f t="shared" si="3"/>
        <v>0</v>
      </c>
      <c r="X35" s="7">
        <f t="shared" si="3"/>
        <v>1</v>
      </c>
      <c r="Y35" s="7">
        <f t="shared" si="3"/>
        <v>0</v>
      </c>
      <c r="Z35" s="7">
        <f t="shared" si="3"/>
        <v>0</v>
      </c>
      <c r="AA35" s="7">
        <f t="shared" si="3"/>
        <v>0</v>
      </c>
      <c r="AB35" s="7">
        <f t="shared" si="5"/>
        <v>0</v>
      </c>
      <c r="AC35" s="7">
        <f t="shared" si="5"/>
        <v>0</v>
      </c>
      <c r="AD35" s="7">
        <f t="shared" si="5"/>
        <v>0</v>
      </c>
      <c r="AE35" s="7">
        <f t="shared" si="4"/>
        <v>1</v>
      </c>
      <c r="AF35" s="7">
        <f t="shared" si="4"/>
        <v>0</v>
      </c>
      <c r="AG35" s="7">
        <f t="shared" si="4"/>
        <v>1</v>
      </c>
      <c r="AH35" s="7">
        <f t="shared" si="4"/>
        <v>0</v>
      </c>
      <c r="AI35" s="7">
        <f t="shared" si="4"/>
        <v>0</v>
      </c>
      <c r="AJ35" s="7">
        <f t="shared" si="4"/>
        <v>0</v>
      </c>
      <c r="AK35" s="7">
        <f t="shared" si="4"/>
        <v>0</v>
      </c>
      <c r="AL35" s="7">
        <f t="shared" si="4"/>
        <v>0</v>
      </c>
      <c r="AM35" s="7">
        <f t="shared" si="4"/>
        <v>0</v>
      </c>
      <c r="AN35" s="7">
        <f t="shared" si="4"/>
        <v>0</v>
      </c>
      <c r="AO35" s="7">
        <f t="shared" si="4"/>
        <v>0</v>
      </c>
      <c r="AP35" s="17">
        <f t="shared" si="2"/>
        <v>1.75</v>
      </c>
      <c r="AS35" s="57"/>
      <c r="AT35" t="s">
        <v>142</v>
      </c>
    </row>
    <row r="36" spans="1:46" ht="15.75" customHeight="1" thickBot="1" x14ac:dyDescent="0.2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18">
        <f t="shared" ref="V36:AO36" si="6">SUM(V4:V35)</f>
        <v>19</v>
      </c>
      <c r="W36" s="18">
        <f t="shared" si="6"/>
        <v>6</v>
      </c>
      <c r="X36" s="18">
        <f t="shared" si="6"/>
        <v>10</v>
      </c>
      <c r="Y36" s="18">
        <f t="shared" si="6"/>
        <v>9</v>
      </c>
      <c r="Z36" s="18">
        <f t="shared" si="6"/>
        <v>15</v>
      </c>
      <c r="AA36" s="18">
        <f t="shared" si="6"/>
        <v>15</v>
      </c>
      <c r="AB36" s="18">
        <f t="shared" si="6"/>
        <v>5</v>
      </c>
      <c r="AC36" s="18">
        <f t="shared" si="6"/>
        <v>5</v>
      </c>
      <c r="AD36" s="18">
        <f t="shared" si="6"/>
        <v>13</v>
      </c>
      <c r="AE36" s="18">
        <f t="shared" si="6"/>
        <v>6</v>
      </c>
      <c r="AF36" s="18">
        <f t="shared" si="6"/>
        <v>7</v>
      </c>
      <c r="AG36" s="18">
        <f t="shared" si="6"/>
        <v>6</v>
      </c>
      <c r="AH36" s="18">
        <f t="shared" si="6"/>
        <v>9</v>
      </c>
      <c r="AI36" s="18">
        <f t="shared" si="6"/>
        <v>2</v>
      </c>
      <c r="AJ36" s="18">
        <f t="shared" si="6"/>
        <v>4</v>
      </c>
      <c r="AK36" s="18">
        <f t="shared" si="6"/>
        <v>7</v>
      </c>
      <c r="AL36" s="18">
        <f t="shared" si="6"/>
        <v>4</v>
      </c>
      <c r="AM36" s="18">
        <f t="shared" si="6"/>
        <v>15</v>
      </c>
      <c r="AN36" s="18">
        <f t="shared" si="6"/>
        <v>2</v>
      </c>
      <c r="AO36" s="18">
        <f t="shared" si="6"/>
        <v>5</v>
      </c>
      <c r="AP36" s="48">
        <f>AVERAGE(AP4:AP35)</f>
        <v>2.28125</v>
      </c>
      <c r="AQ36" s="53" t="s">
        <v>177</v>
      </c>
      <c r="AR36" s="54"/>
    </row>
    <row r="50" spans="23:23" ht="12.75" x14ac:dyDescent="0.2">
      <c r="W50" s="1"/>
    </row>
  </sheetData>
  <mergeCells count="3">
    <mergeCell ref="AS24:AS35"/>
    <mergeCell ref="A36:U36"/>
    <mergeCell ref="AQ36:AR3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6EC1-23B9-46C7-8D49-1EAAABF075F0}">
  <sheetPr>
    <outlinePr summaryBelow="0" summaryRight="0"/>
  </sheetPr>
  <dimension ref="A1:AT50"/>
  <sheetViews>
    <sheetView zoomScale="70" zoomScaleNormal="70" workbookViewId="0">
      <pane ySplit="3" topLeftCell="A4" activePane="bottomLeft" state="frozen"/>
      <selection pane="bottomLeft" activeCell="AB18" sqref="AB18"/>
    </sheetView>
  </sheetViews>
  <sheetFormatPr baseColWidth="10" defaultColWidth="12.5703125" defaultRowHeight="15.75" customHeight="1" x14ac:dyDescent="0.2"/>
  <cols>
    <col min="1" max="1" width="26.85546875" customWidth="1"/>
    <col min="2" max="21" width="3.5703125" customWidth="1"/>
    <col min="22" max="41" width="5.42578125" customWidth="1"/>
    <col min="42" max="42" width="8" bestFit="1" customWidth="1"/>
    <col min="43" max="43" width="9.28515625" bestFit="1" customWidth="1"/>
    <col min="45" max="45" width="10" customWidth="1"/>
  </cols>
  <sheetData>
    <row r="1" spans="1:46" ht="15.75" customHeight="1" x14ac:dyDescent="0.2">
      <c r="A1" s="47" t="s">
        <v>176</v>
      </c>
      <c r="B1" s="27">
        <v>3</v>
      </c>
      <c r="C1" s="27">
        <v>2</v>
      </c>
      <c r="D1" s="27">
        <v>2</v>
      </c>
      <c r="E1" s="27">
        <v>2</v>
      </c>
      <c r="F1" s="27">
        <v>2</v>
      </c>
      <c r="G1" s="27">
        <v>1</v>
      </c>
      <c r="H1" s="27">
        <v>1</v>
      </c>
      <c r="I1" s="27">
        <v>1</v>
      </c>
      <c r="J1" s="27">
        <v>1</v>
      </c>
      <c r="K1" s="27">
        <v>2</v>
      </c>
      <c r="L1" s="27">
        <v>3</v>
      </c>
      <c r="M1" s="27">
        <v>3</v>
      </c>
      <c r="N1" s="27">
        <v>2</v>
      </c>
      <c r="O1" s="27">
        <v>2</v>
      </c>
      <c r="P1" s="27">
        <v>1</v>
      </c>
      <c r="Q1" s="27">
        <v>1</v>
      </c>
      <c r="R1" s="27">
        <v>2</v>
      </c>
      <c r="S1" s="27">
        <v>1</v>
      </c>
      <c r="T1" s="27">
        <v>1</v>
      </c>
      <c r="U1" s="27">
        <v>1</v>
      </c>
    </row>
    <row r="2" spans="1:46" ht="15.75" customHeight="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</row>
    <row r="3" spans="1:46" ht="12.75" x14ac:dyDescent="0.2">
      <c r="A3" s="14" t="s">
        <v>41</v>
      </c>
      <c r="B3" s="5" t="s">
        <v>45</v>
      </c>
      <c r="C3" s="5" t="s">
        <v>45</v>
      </c>
      <c r="D3" s="5" t="s">
        <v>46</v>
      </c>
      <c r="E3" s="20" t="s">
        <v>47</v>
      </c>
      <c r="F3" s="5" t="s">
        <v>47</v>
      </c>
      <c r="G3" s="5" t="s">
        <v>45</v>
      </c>
      <c r="H3" s="5" t="s">
        <v>47</v>
      </c>
      <c r="I3" s="5" t="s">
        <v>45</v>
      </c>
      <c r="J3" s="5" t="s">
        <v>45</v>
      </c>
      <c r="K3" s="5" t="s">
        <v>45</v>
      </c>
      <c r="L3" s="5" t="s">
        <v>48</v>
      </c>
      <c r="M3" s="5" t="s">
        <v>45</v>
      </c>
      <c r="N3" s="20" t="s">
        <v>45</v>
      </c>
      <c r="O3" s="5" t="s">
        <v>48</v>
      </c>
      <c r="P3" s="5" t="s">
        <v>46</v>
      </c>
      <c r="Q3" s="5" t="s">
        <v>45</v>
      </c>
      <c r="R3" s="5" t="s">
        <v>47</v>
      </c>
      <c r="S3" s="5" t="s">
        <v>48</v>
      </c>
      <c r="T3" s="5" t="s">
        <v>46</v>
      </c>
      <c r="U3" s="19" t="s">
        <v>47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15" t="s">
        <v>15</v>
      </c>
      <c r="AQ3" s="4" t="s">
        <v>36</v>
      </c>
      <c r="AR3" s="5" t="s">
        <v>37</v>
      </c>
      <c r="AS3" s="6" t="s">
        <v>38</v>
      </c>
      <c r="AT3" t="s">
        <v>39</v>
      </c>
    </row>
    <row r="4" spans="1:46" ht="27.75" customHeight="1" x14ac:dyDescent="0.2">
      <c r="A4" s="7" t="s">
        <v>78</v>
      </c>
      <c r="B4" s="16" t="s">
        <v>47</v>
      </c>
      <c r="C4" s="16" t="s">
        <v>46</v>
      </c>
      <c r="D4" s="16" t="s">
        <v>48</v>
      </c>
      <c r="E4" s="16" t="s">
        <v>45</v>
      </c>
      <c r="F4" s="16" t="s">
        <v>45</v>
      </c>
      <c r="G4" s="16" t="s">
        <v>48</v>
      </c>
      <c r="H4" s="16" t="s">
        <v>46</v>
      </c>
      <c r="I4" s="16" t="s">
        <v>48</v>
      </c>
      <c r="J4" s="16" t="s">
        <v>48</v>
      </c>
      <c r="K4" s="16" t="s">
        <v>47</v>
      </c>
      <c r="L4" s="16" t="s">
        <v>46</v>
      </c>
      <c r="M4" s="16" t="s">
        <v>48</v>
      </c>
      <c r="N4" s="16" t="s">
        <v>46</v>
      </c>
      <c r="O4" s="16" t="s">
        <v>48</v>
      </c>
      <c r="P4" s="16" t="s">
        <v>46</v>
      </c>
      <c r="Q4" s="16" t="s">
        <v>45</v>
      </c>
      <c r="R4" s="16" t="s">
        <v>47</v>
      </c>
      <c r="S4" s="16" t="s">
        <v>46</v>
      </c>
      <c r="T4" s="16" t="s">
        <v>45</v>
      </c>
      <c r="U4" s="16" t="s">
        <v>46</v>
      </c>
      <c r="V4" s="7">
        <f t="shared" ref="V4:AA19" si="0">IF(B4=B$3,1,0)</f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ref="AB4:AO22" si="1">IF(H4=G$3,1,0)</f>
        <v>0</v>
      </c>
      <c r="AC4" s="7">
        <f t="shared" si="1"/>
        <v>0</v>
      </c>
      <c r="AD4" s="7">
        <f t="shared" si="1"/>
        <v>0</v>
      </c>
      <c r="AE4" s="7">
        <f t="shared" si="1"/>
        <v>0</v>
      </c>
      <c r="AF4" s="7">
        <f t="shared" si="1"/>
        <v>0</v>
      </c>
      <c r="AG4" s="7">
        <f t="shared" si="1"/>
        <v>1</v>
      </c>
      <c r="AH4" s="7">
        <f t="shared" si="1"/>
        <v>0</v>
      </c>
      <c r="AI4" s="7">
        <f t="shared" si="1"/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1</v>
      </c>
      <c r="AP4" s="17">
        <f>IFERROR(SUM(V4:AO4)/COUNTA(B4:U4)*5+1,"")</f>
        <v>1.5</v>
      </c>
      <c r="AQ4" s="27" cm="1">
        <f t="array" ref="AQ4:AQ23">TRANSPOSE(B1:U1)</f>
        <v>3</v>
      </c>
      <c r="AR4" s="7" t="s">
        <v>16</v>
      </c>
      <c r="AS4" s="30" cm="1">
        <f t="array" ref="AS4:AS23">TRANSPOSE(V36:AO36)</f>
        <v>19</v>
      </c>
      <c r="AT4" t="s">
        <v>142</v>
      </c>
    </row>
    <row r="5" spans="1:46" ht="12.75" x14ac:dyDescent="0.2">
      <c r="A5" s="7" t="s">
        <v>79</v>
      </c>
      <c r="B5" s="16" t="s">
        <v>45</v>
      </c>
      <c r="C5" s="16" t="s">
        <v>48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48</v>
      </c>
      <c r="I5" s="16" t="s">
        <v>46</v>
      </c>
      <c r="J5" s="16" t="s">
        <v>45</v>
      </c>
      <c r="K5" s="16" t="s">
        <v>47</v>
      </c>
      <c r="L5" s="16" t="s">
        <v>47</v>
      </c>
      <c r="M5" s="16" t="s">
        <v>47</v>
      </c>
      <c r="N5" s="16" t="s">
        <v>45</v>
      </c>
      <c r="O5" s="16" t="s">
        <v>48</v>
      </c>
      <c r="P5" s="16" t="s">
        <v>46</v>
      </c>
      <c r="Q5" s="16" t="s">
        <v>45</v>
      </c>
      <c r="R5" s="16" t="s">
        <v>47</v>
      </c>
      <c r="S5" s="16" t="s">
        <v>46</v>
      </c>
      <c r="T5" s="16" t="s">
        <v>46</v>
      </c>
      <c r="U5" s="16" t="s">
        <v>48</v>
      </c>
      <c r="V5" s="7">
        <f t="shared" si="0"/>
        <v>1</v>
      </c>
      <c r="W5" s="7">
        <f t="shared" si="0"/>
        <v>0</v>
      </c>
      <c r="X5" s="7">
        <f t="shared" si="0"/>
        <v>0</v>
      </c>
      <c r="Y5" s="7">
        <f t="shared" si="0"/>
        <v>0</v>
      </c>
      <c r="Z5" s="7">
        <f t="shared" si="0"/>
        <v>1</v>
      </c>
      <c r="AA5" s="7">
        <f t="shared" si="0"/>
        <v>0</v>
      </c>
      <c r="AB5" s="7">
        <f t="shared" si="1"/>
        <v>0</v>
      </c>
      <c r="AC5" s="7">
        <f t="shared" si="1"/>
        <v>0</v>
      </c>
      <c r="AD5" s="7">
        <f t="shared" si="1"/>
        <v>1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1</v>
      </c>
      <c r="AI5" s="7">
        <f t="shared" si="1"/>
        <v>0</v>
      </c>
      <c r="AJ5" s="7">
        <f t="shared" si="1"/>
        <v>0</v>
      </c>
      <c r="AK5" s="7">
        <f t="shared" si="1"/>
        <v>0</v>
      </c>
      <c r="AL5" s="7">
        <f t="shared" si="1"/>
        <v>0</v>
      </c>
      <c r="AM5" s="7">
        <f t="shared" si="1"/>
        <v>0</v>
      </c>
      <c r="AN5" s="7">
        <f t="shared" si="1"/>
        <v>0</v>
      </c>
      <c r="AO5" s="7">
        <f t="shared" si="1"/>
        <v>0</v>
      </c>
      <c r="AP5" s="17">
        <f t="shared" ref="AP5:AP35" si="2">IFERROR(SUM(V5:AO5)/COUNTA(B5:U5)*5+1,"")</f>
        <v>2</v>
      </c>
      <c r="AQ5">
        <v>2</v>
      </c>
      <c r="AR5" s="7" t="s">
        <v>17</v>
      </c>
      <c r="AS5" s="30">
        <v>6</v>
      </c>
      <c r="AT5" t="s">
        <v>142</v>
      </c>
    </row>
    <row r="6" spans="1:46" ht="12.75" x14ac:dyDescent="0.2">
      <c r="A6" s="7" t="s">
        <v>80</v>
      </c>
      <c r="B6" s="16" t="s">
        <v>47</v>
      </c>
      <c r="C6" s="16" t="s">
        <v>46</v>
      </c>
      <c r="D6" s="16" t="s">
        <v>46</v>
      </c>
      <c r="E6" s="16" t="s">
        <v>48</v>
      </c>
      <c r="F6" s="16" t="s">
        <v>45</v>
      </c>
      <c r="G6" s="16" t="s">
        <v>47</v>
      </c>
      <c r="H6" s="16" t="s">
        <v>46</v>
      </c>
      <c r="I6" s="16" t="s">
        <v>46</v>
      </c>
      <c r="J6" s="16" t="s">
        <v>48</v>
      </c>
      <c r="K6" s="16" t="s">
        <v>46</v>
      </c>
      <c r="L6" s="16" t="s">
        <v>47</v>
      </c>
      <c r="M6" s="16" t="s">
        <v>46</v>
      </c>
      <c r="N6" s="16" t="s">
        <v>47</v>
      </c>
      <c r="O6" s="16" t="s">
        <v>47</v>
      </c>
      <c r="P6" s="16" t="s">
        <v>46</v>
      </c>
      <c r="Q6" s="16" t="s">
        <v>46</v>
      </c>
      <c r="R6" s="16" t="s">
        <v>47</v>
      </c>
      <c r="S6" s="16" t="s">
        <v>46</v>
      </c>
      <c r="T6" s="16" t="s">
        <v>46</v>
      </c>
      <c r="U6" s="16" t="s">
        <v>46</v>
      </c>
      <c r="V6" s="7">
        <f t="shared" si="0"/>
        <v>0</v>
      </c>
      <c r="W6" s="7">
        <f t="shared" si="0"/>
        <v>0</v>
      </c>
      <c r="X6" s="7">
        <f t="shared" si="0"/>
        <v>1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1"/>
        <v>0</v>
      </c>
      <c r="AC6" s="7">
        <f t="shared" si="1"/>
        <v>0</v>
      </c>
      <c r="AD6" s="7">
        <f t="shared" si="1"/>
        <v>0</v>
      </c>
      <c r="AE6" s="7">
        <f t="shared" si="1"/>
        <v>0</v>
      </c>
      <c r="AF6" s="7">
        <f t="shared" si="1"/>
        <v>0</v>
      </c>
      <c r="AG6" s="7">
        <f t="shared" si="1"/>
        <v>0</v>
      </c>
      <c r="AH6" s="7">
        <f t="shared" si="1"/>
        <v>0</v>
      </c>
      <c r="AI6" s="7">
        <f t="shared" si="1"/>
        <v>0</v>
      </c>
      <c r="AJ6" s="7">
        <f t="shared" si="1"/>
        <v>0</v>
      </c>
      <c r="AK6" s="7">
        <f t="shared" si="1"/>
        <v>1</v>
      </c>
      <c r="AL6" s="7">
        <f t="shared" si="1"/>
        <v>0</v>
      </c>
      <c r="AM6" s="7">
        <f t="shared" si="1"/>
        <v>0</v>
      </c>
      <c r="AN6" s="7">
        <f t="shared" si="1"/>
        <v>0</v>
      </c>
      <c r="AO6" s="7">
        <f t="shared" si="1"/>
        <v>1</v>
      </c>
      <c r="AP6" s="17">
        <f t="shared" si="2"/>
        <v>1.75</v>
      </c>
      <c r="AQ6" s="28">
        <v>2</v>
      </c>
      <c r="AR6" s="29" t="s">
        <v>18</v>
      </c>
      <c r="AS6" s="30">
        <v>10</v>
      </c>
      <c r="AT6" t="s">
        <v>142</v>
      </c>
    </row>
    <row r="7" spans="1:46" ht="12.75" x14ac:dyDescent="0.2">
      <c r="A7" s="7" t="s">
        <v>81</v>
      </c>
      <c r="B7" s="16" t="s">
        <v>48</v>
      </c>
      <c r="C7" s="16" t="s">
        <v>46</v>
      </c>
      <c r="D7" s="16" t="s">
        <v>45</v>
      </c>
      <c r="E7" s="16" t="s">
        <v>46</v>
      </c>
      <c r="F7" s="16" t="s">
        <v>45</v>
      </c>
      <c r="G7" s="16" t="s">
        <v>47</v>
      </c>
      <c r="H7" s="16" t="s">
        <v>47</v>
      </c>
      <c r="I7" s="16" t="s">
        <v>48</v>
      </c>
      <c r="J7" s="16" t="s">
        <v>47</v>
      </c>
      <c r="K7" s="16" t="s">
        <v>47</v>
      </c>
      <c r="L7" s="16" t="s">
        <v>45</v>
      </c>
      <c r="M7" s="16" t="s">
        <v>47</v>
      </c>
      <c r="N7" s="16" t="s">
        <v>45</v>
      </c>
      <c r="O7" s="16" t="s">
        <v>48</v>
      </c>
      <c r="P7" s="16" t="s">
        <v>45</v>
      </c>
      <c r="Q7" s="16" t="s">
        <v>47</v>
      </c>
      <c r="R7" s="16" t="s">
        <v>47</v>
      </c>
      <c r="S7" s="16" t="s">
        <v>45</v>
      </c>
      <c r="T7" s="16" t="s">
        <v>46</v>
      </c>
      <c r="U7" s="16" t="s">
        <v>48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1"/>
        <v>0</v>
      </c>
      <c r="AC7" s="7">
        <f t="shared" si="1"/>
        <v>0</v>
      </c>
      <c r="AD7" s="7">
        <f t="shared" si="1"/>
        <v>0</v>
      </c>
      <c r="AE7" s="7">
        <f t="shared" si="1"/>
        <v>0</v>
      </c>
      <c r="AF7" s="7">
        <f t="shared" si="1"/>
        <v>1</v>
      </c>
      <c r="AG7" s="7">
        <f t="shared" si="1"/>
        <v>0</v>
      </c>
      <c r="AH7" s="7">
        <f t="shared" si="1"/>
        <v>1</v>
      </c>
      <c r="AI7" s="7">
        <f t="shared" si="1"/>
        <v>0</v>
      </c>
      <c r="AJ7" s="7">
        <f t="shared" si="1"/>
        <v>0</v>
      </c>
      <c r="AK7" s="7">
        <f t="shared" si="1"/>
        <v>0</v>
      </c>
      <c r="AL7" s="7">
        <f t="shared" si="1"/>
        <v>0</v>
      </c>
      <c r="AM7" s="7">
        <f t="shared" si="1"/>
        <v>0</v>
      </c>
      <c r="AN7" s="7">
        <f t="shared" si="1"/>
        <v>0</v>
      </c>
      <c r="AO7" s="7">
        <f t="shared" si="1"/>
        <v>0</v>
      </c>
      <c r="AP7" s="17">
        <f t="shared" si="2"/>
        <v>1.5</v>
      </c>
      <c r="AQ7" s="27">
        <v>2</v>
      </c>
      <c r="AR7" s="7" t="s">
        <v>19</v>
      </c>
      <c r="AS7" s="30">
        <v>9</v>
      </c>
      <c r="AT7" t="s">
        <v>142</v>
      </c>
    </row>
    <row r="8" spans="1:46" ht="12.75" x14ac:dyDescent="0.2">
      <c r="A8" s="7" t="s">
        <v>82</v>
      </c>
      <c r="B8" s="16" t="s">
        <v>45</v>
      </c>
      <c r="C8" s="16" t="s">
        <v>45</v>
      </c>
      <c r="D8" s="16" t="s">
        <v>48</v>
      </c>
      <c r="E8" s="16" t="s">
        <v>45</v>
      </c>
      <c r="F8" s="16" t="s">
        <v>45</v>
      </c>
      <c r="G8" s="16" t="s">
        <v>45</v>
      </c>
      <c r="H8" s="16" t="s">
        <v>47</v>
      </c>
      <c r="I8" s="16" t="s">
        <v>48</v>
      </c>
      <c r="J8" s="16" t="s">
        <v>47</v>
      </c>
      <c r="K8" s="16" t="s">
        <v>47</v>
      </c>
      <c r="L8" s="16" t="s">
        <v>47</v>
      </c>
      <c r="M8" s="16" t="s">
        <v>45</v>
      </c>
      <c r="N8" s="16" t="s">
        <v>47</v>
      </c>
      <c r="O8" s="16" t="s">
        <v>48</v>
      </c>
      <c r="P8" s="16" t="s">
        <v>46</v>
      </c>
      <c r="Q8" s="16" t="s">
        <v>45</v>
      </c>
      <c r="R8" s="16" t="s">
        <v>47</v>
      </c>
      <c r="S8" s="16" t="s">
        <v>47</v>
      </c>
      <c r="T8" s="16" t="s">
        <v>46</v>
      </c>
      <c r="U8" s="16" t="s">
        <v>48</v>
      </c>
      <c r="V8" s="7">
        <f t="shared" si="0"/>
        <v>1</v>
      </c>
      <c r="W8" s="7">
        <f t="shared" si="0"/>
        <v>1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1</v>
      </c>
      <c r="AB8" s="7">
        <f t="shared" si="1"/>
        <v>0</v>
      </c>
      <c r="AC8" s="7">
        <f t="shared" si="1"/>
        <v>0</v>
      </c>
      <c r="AD8" s="7">
        <f t="shared" si="1"/>
        <v>0</v>
      </c>
      <c r="AE8" s="7">
        <f t="shared" si="1"/>
        <v>0</v>
      </c>
      <c r="AF8" s="7">
        <f t="shared" si="1"/>
        <v>0</v>
      </c>
      <c r="AG8" s="7">
        <f t="shared" si="1"/>
        <v>0</v>
      </c>
      <c r="AH8" s="7">
        <f t="shared" si="1"/>
        <v>0</v>
      </c>
      <c r="AI8" s="7">
        <f t="shared" si="1"/>
        <v>0</v>
      </c>
      <c r="AJ8" s="7">
        <f t="shared" si="1"/>
        <v>0</v>
      </c>
      <c r="AK8" s="7">
        <f t="shared" si="1"/>
        <v>0</v>
      </c>
      <c r="AL8" s="7">
        <f t="shared" si="1"/>
        <v>0</v>
      </c>
      <c r="AM8" s="7">
        <f t="shared" si="1"/>
        <v>1</v>
      </c>
      <c r="AN8" s="7">
        <f t="shared" si="1"/>
        <v>0</v>
      </c>
      <c r="AO8" s="7">
        <f t="shared" si="1"/>
        <v>0</v>
      </c>
      <c r="AP8" s="17">
        <f t="shared" si="2"/>
        <v>2</v>
      </c>
      <c r="AQ8" s="27">
        <v>2</v>
      </c>
      <c r="AR8" s="7" t="s">
        <v>20</v>
      </c>
      <c r="AS8" s="30">
        <v>15</v>
      </c>
      <c r="AT8" t="s">
        <v>142</v>
      </c>
    </row>
    <row r="9" spans="1:46" ht="12.75" x14ac:dyDescent="0.2">
      <c r="A9" s="7" t="s">
        <v>83</v>
      </c>
      <c r="B9" s="16" t="s">
        <v>47</v>
      </c>
      <c r="C9" s="16" t="s">
        <v>48</v>
      </c>
      <c r="D9" s="16" t="s">
        <v>46</v>
      </c>
      <c r="E9" s="16" t="s">
        <v>45</v>
      </c>
      <c r="F9" s="16" t="s">
        <v>45</v>
      </c>
      <c r="G9" s="16" t="s">
        <v>45</v>
      </c>
      <c r="H9" s="16" t="s">
        <v>46</v>
      </c>
      <c r="I9" s="16" t="s">
        <v>48</v>
      </c>
      <c r="J9" s="16" t="s">
        <v>47</v>
      </c>
      <c r="K9" s="16" t="s">
        <v>47</v>
      </c>
      <c r="L9" s="16" t="s">
        <v>46</v>
      </c>
      <c r="M9" s="16" t="s">
        <v>45</v>
      </c>
      <c r="N9" s="16" t="s">
        <v>47</v>
      </c>
      <c r="O9" s="16" t="s">
        <v>48</v>
      </c>
      <c r="P9" s="16" t="s">
        <v>47</v>
      </c>
      <c r="Q9" s="16" t="s">
        <v>45</v>
      </c>
      <c r="R9" s="16" t="s">
        <v>47</v>
      </c>
      <c r="S9" s="16" t="s">
        <v>47</v>
      </c>
      <c r="T9" s="16" t="s">
        <v>46</v>
      </c>
      <c r="U9" s="16" t="s">
        <v>48</v>
      </c>
      <c r="V9" s="7">
        <f t="shared" si="0"/>
        <v>0</v>
      </c>
      <c r="W9" s="7">
        <f t="shared" si="0"/>
        <v>0</v>
      </c>
      <c r="X9" s="7">
        <f t="shared" si="0"/>
        <v>1</v>
      </c>
      <c r="Y9" s="7">
        <f t="shared" si="0"/>
        <v>0</v>
      </c>
      <c r="Z9" s="7">
        <f t="shared" si="0"/>
        <v>0</v>
      </c>
      <c r="AA9" s="7">
        <f t="shared" si="0"/>
        <v>1</v>
      </c>
      <c r="AB9" s="7">
        <f t="shared" si="1"/>
        <v>0</v>
      </c>
      <c r="AC9" s="7">
        <f t="shared" si="1"/>
        <v>0</v>
      </c>
      <c r="AD9" s="7">
        <f t="shared" si="1"/>
        <v>0</v>
      </c>
      <c r="AE9" s="7">
        <f t="shared" si="1"/>
        <v>0</v>
      </c>
      <c r="AF9" s="7">
        <f t="shared" si="1"/>
        <v>0</v>
      </c>
      <c r="AG9" s="7">
        <f t="shared" si="1"/>
        <v>0</v>
      </c>
      <c r="AH9" s="7">
        <f t="shared" si="1"/>
        <v>0</v>
      </c>
      <c r="AI9" s="7">
        <f t="shared" si="1"/>
        <v>0</v>
      </c>
      <c r="AJ9" s="7">
        <f t="shared" si="1"/>
        <v>0</v>
      </c>
      <c r="AK9" s="7">
        <f t="shared" si="1"/>
        <v>0</v>
      </c>
      <c r="AL9" s="7">
        <f t="shared" si="1"/>
        <v>0</v>
      </c>
      <c r="AM9" s="7">
        <f t="shared" si="1"/>
        <v>1</v>
      </c>
      <c r="AN9" s="7">
        <f t="shared" si="1"/>
        <v>0</v>
      </c>
      <c r="AO9" s="7">
        <f t="shared" si="1"/>
        <v>0</v>
      </c>
      <c r="AP9" s="17">
        <f t="shared" si="2"/>
        <v>1.75</v>
      </c>
      <c r="AQ9" s="27">
        <v>1</v>
      </c>
      <c r="AR9" s="7" t="s">
        <v>21</v>
      </c>
      <c r="AS9" s="30">
        <v>15</v>
      </c>
      <c r="AT9" t="s">
        <v>142</v>
      </c>
    </row>
    <row r="10" spans="1:46" ht="12.75" x14ac:dyDescent="0.2">
      <c r="A10" s="7" t="s">
        <v>84</v>
      </c>
      <c r="B10" s="16" t="s">
        <v>45</v>
      </c>
      <c r="C10" s="16" t="s">
        <v>47</v>
      </c>
      <c r="D10" s="16" t="s">
        <v>47</v>
      </c>
      <c r="E10" s="16" t="s">
        <v>48</v>
      </c>
      <c r="F10" s="16" t="s">
        <v>47</v>
      </c>
      <c r="G10" s="16" t="s">
        <v>47</v>
      </c>
      <c r="H10" s="16" t="s">
        <v>46</v>
      </c>
      <c r="I10" s="16" t="s">
        <v>48</v>
      </c>
      <c r="J10" s="16" t="s">
        <v>48</v>
      </c>
      <c r="K10" s="16" t="s">
        <v>45</v>
      </c>
      <c r="L10" s="16" t="s">
        <v>45</v>
      </c>
      <c r="M10" s="16" t="s">
        <v>45</v>
      </c>
      <c r="N10" s="16" t="s">
        <v>47</v>
      </c>
      <c r="O10" s="16" t="s">
        <v>48</v>
      </c>
      <c r="P10" s="16" t="s">
        <v>45</v>
      </c>
      <c r="Q10" s="16" t="s">
        <v>46</v>
      </c>
      <c r="R10" s="16" t="s">
        <v>45</v>
      </c>
      <c r="S10" s="16" t="s">
        <v>47</v>
      </c>
      <c r="T10" s="16" t="s">
        <v>46</v>
      </c>
      <c r="U10" s="16" t="s">
        <v>45</v>
      </c>
      <c r="V10" s="7">
        <f t="shared" si="0"/>
        <v>1</v>
      </c>
      <c r="W10" s="7">
        <f t="shared" si="0"/>
        <v>0</v>
      </c>
      <c r="X10" s="7">
        <f t="shared" si="0"/>
        <v>0</v>
      </c>
      <c r="Y10" s="7">
        <f t="shared" si="0"/>
        <v>0</v>
      </c>
      <c r="Z10" s="7">
        <f t="shared" si="0"/>
        <v>1</v>
      </c>
      <c r="AA10" s="7">
        <f t="shared" si="0"/>
        <v>0</v>
      </c>
      <c r="AB10" s="7">
        <f t="shared" si="1"/>
        <v>0</v>
      </c>
      <c r="AC10" s="7">
        <f t="shared" si="1"/>
        <v>0</v>
      </c>
      <c r="AD10" s="7">
        <f t="shared" si="1"/>
        <v>0</v>
      </c>
      <c r="AE10" s="7">
        <f t="shared" si="1"/>
        <v>1</v>
      </c>
      <c r="AF10" s="7">
        <f t="shared" si="1"/>
        <v>1</v>
      </c>
      <c r="AG10" s="7">
        <f t="shared" si="1"/>
        <v>0</v>
      </c>
      <c r="AH10" s="7">
        <f t="shared" si="1"/>
        <v>0</v>
      </c>
      <c r="AI10" s="7">
        <f t="shared" si="1"/>
        <v>0</v>
      </c>
      <c r="AJ10" s="7">
        <f t="shared" si="1"/>
        <v>0</v>
      </c>
      <c r="AK10" s="7">
        <f t="shared" si="1"/>
        <v>1</v>
      </c>
      <c r="AL10" s="7">
        <f t="shared" si="1"/>
        <v>1</v>
      </c>
      <c r="AM10" s="7">
        <f t="shared" si="1"/>
        <v>1</v>
      </c>
      <c r="AN10" s="7">
        <f t="shared" si="1"/>
        <v>0</v>
      </c>
      <c r="AO10" s="7">
        <f t="shared" si="1"/>
        <v>0</v>
      </c>
      <c r="AP10" s="17">
        <f t="shared" si="2"/>
        <v>2.75</v>
      </c>
      <c r="AQ10" s="27">
        <v>1</v>
      </c>
      <c r="AR10" s="7" t="s">
        <v>22</v>
      </c>
      <c r="AS10" s="30">
        <v>5</v>
      </c>
      <c r="AT10" t="s">
        <v>142</v>
      </c>
    </row>
    <row r="11" spans="1:46" ht="12.75" x14ac:dyDescent="0.2">
      <c r="A11" s="7" t="s">
        <v>85</v>
      </c>
      <c r="B11" s="16" t="s">
        <v>45</v>
      </c>
      <c r="C11" s="16" t="s">
        <v>48</v>
      </c>
      <c r="D11" s="16" t="s">
        <v>47</v>
      </c>
      <c r="E11" s="16" t="s">
        <v>47</v>
      </c>
      <c r="F11" s="16" t="s">
        <v>45</v>
      </c>
      <c r="G11" s="16" t="s">
        <v>47</v>
      </c>
      <c r="H11" s="16" t="s">
        <v>46</v>
      </c>
      <c r="I11" s="16" t="s">
        <v>48</v>
      </c>
      <c r="J11" s="16" t="s">
        <v>47</v>
      </c>
      <c r="K11" s="16" t="s">
        <v>46</v>
      </c>
      <c r="L11" s="16" t="s">
        <v>48</v>
      </c>
      <c r="M11" s="16" t="s">
        <v>45</v>
      </c>
      <c r="N11" s="16" t="s">
        <v>48</v>
      </c>
      <c r="O11" s="16" t="s">
        <v>47</v>
      </c>
      <c r="P11" s="16" t="s">
        <v>46</v>
      </c>
      <c r="Q11" s="16" t="s">
        <v>47</v>
      </c>
      <c r="R11" s="16" t="s">
        <v>46</v>
      </c>
      <c r="S11" s="16" t="s">
        <v>45</v>
      </c>
      <c r="T11" s="16" t="s">
        <v>48</v>
      </c>
      <c r="U11" s="16" t="s">
        <v>45</v>
      </c>
      <c r="V11" s="7">
        <f t="shared" si="0"/>
        <v>1</v>
      </c>
      <c r="W11" s="7">
        <f t="shared" si="0"/>
        <v>0</v>
      </c>
      <c r="X11" s="7">
        <f t="shared" si="0"/>
        <v>0</v>
      </c>
      <c r="Y11" s="7">
        <f t="shared" si="0"/>
        <v>1</v>
      </c>
      <c r="Z11" s="7">
        <f t="shared" si="0"/>
        <v>0</v>
      </c>
      <c r="AA11" s="7">
        <f t="shared" si="0"/>
        <v>0</v>
      </c>
      <c r="AB11" s="7">
        <f t="shared" si="1"/>
        <v>0</v>
      </c>
      <c r="AC11" s="7">
        <f t="shared" si="1"/>
        <v>0</v>
      </c>
      <c r="AD11" s="7">
        <f t="shared" si="1"/>
        <v>0</v>
      </c>
      <c r="AE11" s="7">
        <f t="shared" si="1"/>
        <v>0</v>
      </c>
      <c r="AF11" s="7">
        <f t="shared" si="1"/>
        <v>0</v>
      </c>
      <c r="AG11" s="7">
        <f t="shared" si="1"/>
        <v>0</v>
      </c>
      <c r="AH11" s="7">
        <f t="shared" si="1"/>
        <v>0</v>
      </c>
      <c r="AI11" s="7">
        <f t="shared" si="1"/>
        <v>0</v>
      </c>
      <c r="AJ11" s="7">
        <f t="shared" si="1"/>
        <v>0</v>
      </c>
      <c r="AK11" s="7">
        <f t="shared" si="1"/>
        <v>0</v>
      </c>
      <c r="AL11" s="7">
        <f t="shared" si="1"/>
        <v>0</v>
      </c>
      <c r="AM11" s="7">
        <f t="shared" si="1"/>
        <v>0</v>
      </c>
      <c r="AN11" s="7">
        <f t="shared" si="1"/>
        <v>1</v>
      </c>
      <c r="AO11" s="7">
        <f t="shared" si="1"/>
        <v>0</v>
      </c>
      <c r="AP11" s="17">
        <f t="shared" si="2"/>
        <v>1.75</v>
      </c>
      <c r="AQ11" s="27">
        <v>1</v>
      </c>
      <c r="AR11" s="7" t="s">
        <v>23</v>
      </c>
      <c r="AS11" s="30">
        <v>5</v>
      </c>
      <c r="AT11" t="s">
        <v>142</v>
      </c>
    </row>
    <row r="12" spans="1:46" ht="12.75" x14ac:dyDescent="0.2">
      <c r="A12" s="7" t="s">
        <v>86</v>
      </c>
      <c r="B12" s="16" t="s">
        <v>47</v>
      </c>
      <c r="C12" s="16" t="s">
        <v>47</v>
      </c>
      <c r="D12" s="16" t="s">
        <v>46</v>
      </c>
      <c r="E12" s="16" t="s">
        <v>47</v>
      </c>
      <c r="F12" s="16" t="s">
        <v>47</v>
      </c>
      <c r="G12" s="16" t="s">
        <v>45</v>
      </c>
      <c r="H12" s="16" t="s">
        <v>48</v>
      </c>
      <c r="I12" s="16" t="s">
        <v>48</v>
      </c>
      <c r="J12" s="16" t="s">
        <v>48</v>
      </c>
      <c r="K12" s="16" t="s">
        <v>46</v>
      </c>
      <c r="L12" s="16" t="s">
        <v>48</v>
      </c>
      <c r="M12" s="16" t="s">
        <v>46</v>
      </c>
      <c r="N12" s="16" t="s">
        <v>45</v>
      </c>
      <c r="O12" s="16" t="s">
        <v>48</v>
      </c>
      <c r="P12" s="16" t="s">
        <v>46</v>
      </c>
      <c r="Q12" s="16" t="s">
        <v>45</v>
      </c>
      <c r="R12" s="16" t="s">
        <v>47</v>
      </c>
      <c r="S12" s="16" t="s">
        <v>47</v>
      </c>
      <c r="T12" s="16" t="s">
        <v>46</v>
      </c>
      <c r="U12" s="16" t="s">
        <v>47</v>
      </c>
      <c r="V12" s="7">
        <f t="shared" si="0"/>
        <v>0</v>
      </c>
      <c r="W12" s="7">
        <f t="shared" si="0"/>
        <v>0</v>
      </c>
      <c r="X12" s="7">
        <f t="shared" si="0"/>
        <v>1</v>
      </c>
      <c r="Y12" s="7">
        <f t="shared" si="0"/>
        <v>1</v>
      </c>
      <c r="Z12" s="7">
        <f t="shared" si="0"/>
        <v>1</v>
      </c>
      <c r="AA12" s="7">
        <f t="shared" si="0"/>
        <v>1</v>
      </c>
      <c r="AB12" s="7">
        <f t="shared" si="1"/>
        <v>0</v>
      </c>
      <c r="AC12" s="7">
        <f t="shared" si="1"/>
        <v>0</v>
      </c>
      <c r="AD12" s="7">
        <f t="shared" si="1"/>
        <v>0</v>
      </c>
      <c r="AE12" s="7">
        <f t="shared" si="1"/>
        <v>0</v>
      </c>
      <c r="AF12" s="7">
        <f t="shared" si="1"/>
        <v>0</v>
      </c>
      <c r="AG12" s="7">
        <f t="shared" si="1"/>
        <v>0</v>
      </c>
      <c r="AH12" s="7">
        <f t="shared" si="1"/>
        <v>1</v>
      </c>
      <c r="AI12" s="7">
        <f t="shared" si="1"/>
        <v>0</v>
      </c>
      <c r="AJ12" s="7">
        <f t="shared" si="1"/>
        <v>0</v>
      </c>
      <c r="AK12" s="7">
        <f t="shared" si="1"/>
        <v>0</v>
      </c>
      <c r="AL12" s="7">
        <f t="shared" si="1"/>
        <v>0</v>
      </c>
      <c r="AM12" s="7">
        <f t="shared" si="1"/>
        <v>1</v>
      </c>
      <c r="AN12" s="7">
        <f t="shared" si="1"/>
        <v>0</v>
      </c>
      <c r="AO12" s="7">
        <f t="shared" si="1"/>
        <v>0</v>
      </c>
      <c r="AP12" s="17">
        <f t="shared" si="2"/>
        <v>2.5</v>
      </c>
      <c r="AQ12" s="27">
        <v>1</v>
      </c>
      <c r="AR12" s="7" t="s">
        <v>24</v>
      </c>
      <c r="AS12" s="30">
        <v>13</v>
      </c>
      <c r="AT12" t="s">
        <v>142</v>
      </c>
    </row>
    <row r="13" spans="1:46" ht="12.75" x14ac:dyDescent="0.2">
      <c r="A13" s="7" t="s">
        <v>87</v>
      </c>
      <c r="B13" s="16" t="s">
        <v>45</v>
      </c>
      <c r="C13" s="16" t="s">
        <v>45</v>
      </c>
      <c r="D13" s="16" t="s">
        <v>47</v>
      </c>
      <c r="E13" s="16" t="s">
        <v>46</v>
      </c>
      <c r="F13" s="16" t="s">
        <v>47</v>
      </c>
      <c r="G13" s="16" t="s">
        <v>45</v>
      </c>
      <c r="H13" s="16" t="s">
        <v>46</v>
      </c>
      <c r="I13" s="16" t="s">
        <v>47</v>
      </c>
      <c r="J13" s="16" t="s">
        <v>45</v>
      </c>
      <c r="K13" s="16" t="s">
        <v>48</v>
      </c>
      <c r="L13" s="16" t="s">
        <v>47</v>
      </c>
      <c r="M13" s="16" t="s">
        <v>47</v>
      </c>
      <c r="N13" s="16" t="s">
        <v>46</v>
      </c>
      <c r="O13" s="16" t="s">
        <v>47</v>
      </c>
      <c r="P13" s="16" t="s">
        <v>45</v>
      </c>
      <c r="Q13" s="16" t="s">
        <v>47</v>
      </c>
      <c r="R13" s="16" t="s">
        <v>47</v>
      </c>
      <c r="S13" s="16" t="s">
        <v>45</v>
      </c>
      <c r="T13" s="16" t="s">
        <v>46</v>
      </c>
      <c r="U13" s="16" t="s">
        <v>48</v>
      </c>
      <c r="V13" s="7">
        <f t="shared" si="0"/>
        <v>1</v>
      </c>
      <c r="W13" s="7">
        <f t="shared" si="0"/>
        <v>1</v>
      </c>
      <c r="X13" s="7">
        <f t="shared" si="0"/>
        <v>0</v>
      </c>
      <c r="Y13" s="7">
        <f t="shared" si="0"/>
        <v>0</v>
      </c>
      <c r="Z13" s="7">
        <f t="shared" si="0"/>
        <v>1</v>
      </c>
      <c r="AA13" s="7">
        <f t="shared" si="0"/>
        <v>1</v>
      </c>
      <c r="AB13" s="7">
        <f t="shared" si="1"/>
        <v>0</v>
      </c>
      <c r="AC13" s="7">
        <f t="shared" si="1"/>
        <v>1</v>
      </c>
      <c r="AD13" s="7">
        <f t="shared" si="1"/>
        <v>1</v>
      </c>
      <c r="AE13" s="7">
        <f t="shared" si="1"/>
        <v>0</v>
      </c>
      <c r="AF13" s="7">
        <f t="shared" si="1"/>
        <v>0</v>
      </c>
      <c r="AG13" s="7">
        <f t="shared" si="1"/>
        <v>0</v>
      </c>
      <c r="AH13" s="7">
        <f t="shared" si="1"/>
        <v>0</v>
      </c>
      <c r="AI13" s="7">
        <f t="shared" si="1"/>
        <v>0</v>
      </c>
      <c r="AJ13" s="7">
        <f t="shared" si="1"/>
        <v>0</v>
      </c>
      <c r="AK13" s="7">
        <f t="shared" si="1"/>
        <v>0</v>
      </c>
      <c r="AL13" s="7">
        <f t="shared" si="1"/>
        <v>0</v>
      </c>
      <c r="AM13" s="7">
        <f t="shared" si="1"/>
        <v>0</v>
      </c>
      <c r="AN13" s="7">
        <f t="shared" si="1"/>
        <v>0</v>
      </c>
      <c r="AO13" s="7">
        <f t="shared" si="1"/>
        <v>0</v>
      </c>
      <c r="AP13" s="17">
        <f t="shared" si="2"/>
        <v>2.5</v>
      </c>
      <c r="AQ13" s="27">
        <v>2</v>
      </c>
      <c r="AR13" s="7" t="s">
        <v>25</v>
      </c>
      <c r="AS13" s="30">
        <v>6</v>
      </c>
      <c r="AT13" t="s">
        <v>142</v>
      </c>
    </row>
    <row r="14" spans="1:46" ht="12.75" x14ac:dyDescent="0.2">
      <c r="A14" s="7" t="s">
        <v>88</v>
      </c>
      <c r="B14" s="16" t="s">
        <v>45</v>
      </c>
      <c r="C14" s="16" t="s">
        <v>47</v>
      </c>
      <c r="D14" s="16" t="s">
        <v>47</v>
      </c>
      <c r="E14" s="16" t="s">
        <v>48</v>
      </c>
      <c r="F14" s="16" t="s">
        <v>47</v>
      </c>
      <c r="G14" s="16" t="s">
        <v>47</v>
      </c>
      <c r="H14" s="16" t="s">
        <v>46</v>
      </c>
      <c r="I14" s="16" t="s">
        <v>48</v>
      </c>
      <c r="J14" s="16" t="s">
        <v>48</v>
      </c>
      <c r="K14" s="16" t="s">
        <v>45</v>
      </c>
      <c r="L14" s="16" t="s">
        <v>45</v>
      </c>
      <c r="M14" s="16" t="s">
        <v>45</v>
      </c>
      <c r="N14" s="16" t="s">
        <v>45</v>
      </c>
      <c r="O14" s="16" t="s">
        <v>48</v>
      </c>
      <c r="P14" s="16" t="s">
        <v>47</v>
      </c>
      <c r="Q14" s="16" t="s">
        <v>47</v>
      </c>
      <c r="R14" s="16" t="s">
        <v>47</v>
      </c>
      <c r="S14" s="16" t="s">
        <v>45</v>
      </c>
      <c r="T14" s="16" t="s">
        <v>46</v>
      </c>
      <c r="U14" s="16" t="s">
        <v>48</v>
      </c>
      <c r="V14" s="7">
        <f t="shared" si="0"/>
        <v>1</v>
      </c>
      <c r="W14" s="7">
        <f t="shared" si="0"/>
        <v>0</v>
      </c>
      <c r="X14" s="7">
        <f t="shared" si="0"/>
        <v>0</v>
      </c>
      <c r="Y14" s="7">
        <f t="shared" si="0"/>
        <v>0</v>
      </c>
      <c r="Z14" s="7">
        <f t="shared" si="0"/>
        <v>1</v>
      </c>
      <c r="AA14" s="7">
        <f t="shared" si="0"/>
        <v>0</v>
      </c>
      <c r="AB14" s="7">
        <f t="shared" si="1"/>
        <v>0</v>
      </c>
      <c r="AC14" s="7">
        <f t="shared" si="1"/>
        <v>0</v>
      </c>
      <c r="AD14" s="7">
        <f t="shared" si="1"/>
        <v>0</v>
      </c>
      <c r="AE14" s="7">
        <f t="shared" si="1"/>
        <v>1</v>
      </c>
      <c r="AF14" s="7">
        <f t="shared" si="1"/>
        <v>1</v>
      </c>
      <c r="AG14" s="7">
        <f t="shared" si="1"/>
        <v>0</v>
      </c>
      <c r="AH14" s="7">
        <f t="shared" si="1"/>
        <v>1</v>
      </c>
      <c r="AI14" s="7">
        <f t="shared" si="1"/>
        <v>0</v>
      </c>
      <c r="AJ14" s="7">
        <f t="shared" si="1"/>
        <v>0</v>
      </c>
      <c r="AK14" s="7">
        <f t="shared" si="1"/>
        <v>0</v>
      </c>
      <c r="AL14" s="7">
        <f t="shared" si="1"/>
        <v>0</v>
      </c>
      <c r="AM14" s="7">
        <f t="shared" si="1"/>
        <v>0</v>
      </c>
      <c r="AN14" s="7">
        <f t="shared" si="1"/>
        <v>0</v>
      </c>
      <c r="AO14" s="7">
        <f t="shared" si="1"/>
        <v>0</v>
      </c>
      <c r="AP14" s="17">
        <f t="shared" si="2"/>
        <v>2.25</v>
      </c>
      <c r="AQ14" s="27">
        <v>3</v>
      </c>
      <c r="AR14" s="7" t="s">
        <v>26</v>
      </c>
      <c r="AS14" s="30">
        <v>7</v>
      </c>
      <c r="AT14" t="s">
        <v>142</v>
      </c>
    </row>
    <row r="15" spans="1:46" ht="12.75" x14ac:dyDescent="0.2">
      <c r="A15" s="7" t="s">
        <v>89</v>
      </c>
      <c r="B15" s="16" t="s">
        <v>45</v>
      </c>
      <c r="C15" s="16" t="s">
        <v>48</v>
      </c>
      <c r="D15" s="16" t="s">
        <v>47</v>
      </c>
      <c r="E15" s="16" t="s">
        <v>48</v>
      </c>
      <c r="F15" s="16" t="s">
        <v>47</v>
      </c>
      <c r="G15" s="16" t="s">
        <v>45</v>
      </c>
      <c r="H15" s="16" t="s">
        <v>46</v>
      </c>
      <c r="I15" s="16" t="s">
        <v>48</v>
      </c>
      <c r="J15" s="16" t="s">
        <v>47</v>
      </c>
      <c r="K15" s="16" t="s">
        <v>46</v>
      </c>
      <c r="L15" s="16" t="s">
        <v>45</v>
      </c>
      <c r="M15" s="16" t="s">
        <v>47</v>
      </c>
      <c r="N15" s="16" t="s">
        <v>46</v>
      </c>
      <c r="O15" s="16" t="s">
        <v>45</v>
      </c>
      <c r="P15" s="16" t="s">
        <v>46</v>
      </c>
      <c r="Q15" s="16" t="s">
        <v>47</v>
      </c>
      <c r="R15" s="16" t="s">
        <v>46</v>
      </c>
      <c r="S15" s="16" t="s">
        <v>47</v>
      </c>
      <c r="T15" s="16" t="s">
        <v>48</v>
      </c>
      <c r="U15" s="16" t="s">
        <v>45</v>
      </c>
      <c r="V15" s="7">
        <f t="shared" si="0"/>
        <v>1</v>
      </c>
      <c r="W15" s="7">
        <f t="shared" si="0"/>
        <v>0</v>
      </c>
      <c r="X15" s="7">
        <f t="shared" si="0"/>
        <v>0</v>
      </c>
      <c r="Y15" s="7">
        <f t="shared" si="0"/>
        <v>0</v>
      </c>
      <c r="Z15" s="7">
        <f t="shared" si="0"/>
        <v>1</v>
      </c>
      <c r="AA15" s="7">
        <f t="shared" si="0"/>
        <v>1</v>
      </c>
      <c r="AB15" s="7">
        <f t="shared" si="1"/>
        <v>0</v>
      </c>
      <c r="AC15" s="7">
        <f t="shared" si="1"/>
        <v>0</v>
      </c>
      <c r="AD15" s="7">
        <f t="shared" si="1"/>
        <v>0</v>
      </c>
      <c r="AE15" s="7">
        <f t="shared" si="1"/>
        <v>0</v>
      </c>
      <c r="AF15" s="7">
        <f t="shared" si="1"/>
        <v>1</v>
      </c>
      <c r="AG15" s="7">
        <f t="shared" si="1"/>
        <v>0</v>
      </c>
      <c r="AH15" s="7">
        <f t="shared" si="1"/>
        <v>0</v>
      </c>
      <c r="AI15" s="7">
        <f t="shared" si="1"/>
        <v>1</v>
      </c>
      <c r="AJ15" s="7">
        <f t="shared" si="1"/>
        <v>0</v>
      </c>
      <c r="AK15" s="7">
        <f t="shared" si="1"/>
        <v>0</v>
      </c>
      <c r="AL15" s="7">
        <f t="shared" si="1"/>
        <v>0</v>
      </c>
      <c r="AM15" s="7">
        <f t="shared" si="1"/>
        <v>1</v>
      </c>
      <c r="AN15" s="7">
        <f t="shared" si="1"/>
        <v>1</v>
      </c>
      <c r="AO15" s="7">
        <f t="shared" si="1"/>
        <v>0</v>
      </c>
      <c r="AP15" s="17">
        <f t="shared" si="2"/>
        <v>2.75</v>
      </c>
      <c r="AQ15" s="27">
        <v>3</v>
      </c>
      <c r="AR15" s="7" t="s">
        <v>27</v>
      </c>
      <c r="AS15" s="30">
        <v>6</v>
      </c>
      <c r="AT15" t="s">
        <v>142</v>
      </c>
    </row>
    <row r="16" spans="1:46" ht="12.75" x14ac:dyDescent="0.2">
      <c r="A16" s="7" t="s">
        <v>90</v>
      </c>
      <c r="B16" s="16" t="s">
        <v>46</v>
      </c>
      <c r="C16" s="16" t="s">
        <v>45</v>
      </c>
      <c r="D16" s="16" t="s">
        <v>47</v>
      </c>
      <c r="E16" s="16" t="s">
        <v>46</v>
      </c>
      <c r="F16" s="16" t="s">
        <v>45</v>
      </c>
      <c r="G16" s="16" t="s">
        <v>46</v>
      </c>
      <c r="H16" s="16" t="s">
        <v>45</v>
      </c>
      <c r="I16" s="16" t="s">
        <v>46</v>
      </c>
      <c r="J16" s="16" t="s">
        <v>45</v>
      </c>
      <c r="K16" s="16" t="s">
        <v>46</v>
      </c>
      <c r="L16" s="16" t="s">
        <v>47</v>
      </c>
      <c r="M16" s="16" t="s">
        <v>45</v>
      </c>
      <c r="N16" s="16" t="s">
        <v>48</v>
      </c>
      <c r="O16" s="16" t="s">
        <v>46</v>
      </c>
      <c r="P16" s="16" t="s">
        <v>45</v>
      </c>
      <c r="Q16" s="16" t="s">
        <v>47</v>
      </c>
      <c r="R16" s="16" t="s">
        <v>46</v>
      </c>
      <c r="S16" s="16" t="s">
        <v>48</v>
      </c>
      <c r="T16" s="16" t="s">
        <v>45</v>
      </c>
      <c r="U16" s="16" t="s">
        <v>46</v>
      </c>
      <c r="V16" s="7">
        <f t="shared" si="0"/>
        <v>0</v>
      </c>
      <c r="W16" s="7">
        <f t="shared" si="0"/>
        <v>1</v>
      </c>
      <c r="X16" s="7">
        <f t="shared" si="0"/>
        <v>0</v>
      </c>
      <c r="Y16" s="7">
        <f t="shared" si="0"/>
        <v>0</v>
      </c>
      <c r="Z16" s="7">
        <f t="shared" si="0"/>
        <v>0</v>
      </c>
      <c r="AA16" s="7">
        <f t="shared" si="0"/>
        <v>0</v>
      </c>
      <c r="AB16" s="7">
        <f t="shared" si="1"/>
        <v>1</v>
      </c>
      <c r="AC16" s="7">
        <f t="shared" si="1"/>
        <v>0</v>
      </c>
      <c r="AD16" s="7">
        <f t="shared" si="1"/>
        <v>1</v>
      </c>
      <c r="AE16" s="7">
        <f t="shared" si="1"/>
        <v>0</v>
      </c>
      <c r="AF16" s="7">
        <f t="shared" si="1"/>
        <v>0</v>
      </c>
      <c r="AG16" s="7">
        <f t="shared" si="1"/>
        <v>0</v>
      </c>
      <c r="AH16" s="7">
        <f t="shared" si="1"/>
        <v>0</v>
      </c>
      <c r="AI16" s="7">
        <f t="shared" si="1"/>
        <v>0</v>
      </c>
      <c r="AJ16" s="7">
        <f t="shared" si="1"/>
        <v>0</v>
      </c>
      <c r="AK16" s="7">
        <f t="shared" si="1"/>
        <v>0</v>
      </c>
      <c r="AL16" s="7">
        <f t="shared" si="1"/>
        <v>0</v>
      </c>
      <c r="AM16" s="7">
        <f t="shared" si="1"/>
        <v>0</v>
      </c>
      <c r="AN16" s="7">
        <f t="shared" si="1"/>
        <v>0</v>
      </c>
      <c r="AO16" s="7">
        <f t="shared" si="1"/>
        <v>1</v>
      </c>
      <c r="AP16" s="17">
        <f t="shared" si="2"/>
        <v>2</v>
      </c>
      <c r="AQ16" s="27">
        <v>2</v>
      </c>
      <c r="AR16" s="7" t="s">
        <v>28</v>
      </c>
      <c r="AS16" s="30">
        <v>9</v>
      </c>
      <c r="AT16" t="s">
        <v>142</v>
      </c>
    </row>
    <row r="17" spans="1:46" ht="12.75" x14ac:dyDescent="0.2">
      <c r="A17" s="7" t="s">
        <v>91</v>
      </c>
      <c r="B17" s="16" t="s">
        <v>45</v>
      </c>
      <c r="C17" s="16" t="s">
        <v>45</v>
      </c>
      <c r="D17" s="16" t="s">
        <v>48</v>
      </c>
      <c r="E17" s="16" t="s">
        <v>45</v>
      </c>
      <c r="F17" s="16" t="s">
        <v>47</v>
      </c>
      <c r="G17" s="16" t="s">
        <v>45</v>
      </c>
      <c r="H17" s="16" t="s">
        <v>48</v>
      </c>
      <c r="I17" s="16" t="s">
        <v>48</v>
      </c>
      <c r="J17" s="16" t="s">
        <v>45</v>
      </c>
      <c r="K17" s="16" t="s">
        <v>47</v>
      </c>
      <c r="L17" s="16" t="s">
        <v>47</v>
      </c>
      <c r="M17" s="16" t="s">
        <v>45</v>
      </c>
      <c r="N17" s="16" t="s">
        <v>45</v>
      </c>
      <c r="O17" s="16" t="s">
        <v>48</v>
      </c>
      <c r="P17" s="16" t="s">
        <v>46</v>
      </c>
      <c r="Q17" s="16" t="s">
        <v>46</v>
      </c>
      <c r="R17" s="16" t="s">
        <v>47</v>
      </c>
      <c r="S17" s="16" t="s">
        <v>47</v>
      </c>
      <c r="T17" s="16" t="s">
        <v>45</v>
      </c>
      <c r="U17" s="16" t="s">
        <v>48</v>
      </c>
      <c r="V17" s="7">
        <f t="shared" si="0"/>
        <v>1</v>
      </c>
      <c r="W17" s="7">
        <f t="shared" si="0"/>
        <v>1</v>
      </c>
      <c r="X17" s="7">
        <f t="shared" si="0"/>
        <v>0</v>
      </c>
      <c r="Y17" s="7">
        <f t="shared" si="0"/>
        <v>0</v>
      </c>
      <c r="Z17" s="7">
        <f t="shared" si="0"/>
        <v>1</v>
      </c>
      <c r="AA17" s="7">
        <f t="shared" si="0"/>
        <v>1</v>
      </c>
      <c r="AB17" s="7">
        <f t="shared" si="1"/>
        <v>0</v>
      </c>
      <c r="AC17" s="7">
        <f t="shared" si="1"/>
        <v>0</v>
      </c>
      <c r="AD17" s="7">
        <f t="shared" si="1"/>
        <v>1</v>
      </c>
      <c r="AE17" s="7">
        <f t="shared" si="1"/>
        <v>0</v>
      </c>
      <c r="AF17" s="7">
        <f t="shared" si="1"/>
        <v>0</v>
      </c>
      <c r="AG17" s="7">
        <f t="shared" si="1"/>
        <v>0</v>
      </c>
      <c r="AH17" s="7">
        <f t="shared" si="1"/>
        <v>1</v>
      </c>
      <c r="AI17" s="7">
        <f t="shared" si="1"/>
        <v>0</v>
      </c>
      <c r="AJ17" s="7">
        <f t="shared" si="1"/>
        <v>0</v>
      </c>
      <c r="AK17" s="7">
        <f t="shared" si="1"/>
        <v>1</v>
      </c>
      <c r="AL17" s="7">
        <f t="shared" si="1"/>
        <v>0</v>
      </c>
      <c r="AM17" s="7">
        <f t="shared" si="1"/>
        <v>1</v>
      </c>
      <c r="AN17" s="7">
        <f t="shared" si="1"/>
        <v>0</v>
      </c>
      <c r="AO17" s="7">
        <f t="shared" si="1"/>
        <v>0</v>
      </c>
      <c r="AP17" s="17">
        <f t="shared" si="2"/>
        <v>3</v>
      </c>
      <c r="AQ17" s="27">
        <v>2</v>
      </c>
      <c r="AR17" s="7" t="s">
        <v>29</v>
      </c>
      <c r="AS17" s="30">
        <v>2</v>
      </c>
      <c r="AT17" t="s">
        <v>142</v>
      </c>
    </row>
    <row r="18" spans="1:46" ht="12.75" x14ac:dyDescent="0.2">
      <c r="A18" s="7" t="s">
        <v>92</v>
      </c>
      <c r="B18" s="16" t="s">
        <v>46</v>
      </c>
      <c r="C18" s="16" t="s">
        <v>48</v>
      </c>
      <c r="D18" s="16" t="s">
        <v>47</v>
      </c>
      <c r="E18" s="16" t="s">
        <v>45</v>
      </c>
      <c r="F18" s="16" t="s">
        <v>48</v>
      </c>
      <c r="G18" s="16" t="s">
        <v>47</v>
      </c>
      <c r="H18" s="16" t="s">
        <v>46</v>
      </c>
      <c r="I18" s="16" t="s">
        <v>48</v>
      </c>
      <c r="J18" s="16" t="s">
        <v>45</v>
      </c>
      <c r="K18" s="16" t="s">
        <v>45</v>
      </c>
      <c r="L18" s="16" t="s">
        <v>48</v>
      </c>
      <c r="M18" s="16" t="s">
        <v>46</v>
      </c>
      <c r="N18" s="16" t="s">
        <v>48</v>
      </c>
      <c r="O18" s="16" t="s">
        <v>46</v>
      </c>
      <c r="P18" s="16" t="s">
        <v>47</v>
      </c>
      <c r="Q18" s="16" t="s">
        <v>45</v>
      </c>
      <c r="R18" s="16" t="s">
        <v>48</v>
      </c>
      <c r="S18" s="16" t="s">
        <v>47</v>
      </c>
      <c r="T18" s="16" t="s">
        <v>46</v>
      </c>
      <c r="U18" s="16" t="s">
        <v>48</v>
      </c>
      <c r="V18" s="7">
        <f t="shared" si="0"/>
        <v>0</v>
      </c>
      <c r="W18" s="7">
        <f t="shared" si="0"/>
        <v>0</v>
      </c>
      <c r="X18" s="7">
        <f t="shared" si="0"/>
        <v>0</v>
      </c>
      <c r="Y18" s="7">
        <f t="shared" si="0"/>
        <v>0</v>
      </c>
      <c r="Z18" s="7">
        <f t="shared" si="0"/>
        <v>0</v>
      </c>
      <c r="AA18" s="7">
        <f t="shared" si="0"/>
        <v>0</v>
      </c>
      <c r="AB18" s="7">
        <f t="shared" si="1"/>
        <v>0</v>
      </c>
      <c r="AC18" s="7">
        <f t="shared" si="1"/>
        <v>0</v>
      </c>
      <c r="AD18" s="7">
        <f t="shared" si="1"/>
        <v>1</v>
      </c>
      <c r="AE18" s="7">
        <f t="shared" si="1"/>
        <v>1</v>
      </c>
      <c r="AF18" s="7">
        <f t="shared" si="1"/>
        <v>0</v>
      </c>
      <c r="AG18" s="7">
        <f t="shared" si="1"/>
        <v>0</v>
      </c>
      <c r="AH18" s="7">
        <f t="shared" si="1"/>
        <v>0</v>
      </c>
      <c r="AI18" s="7">
        <f t="shared" si="1"/>
        <v>0</v>
      </c>
      <c r="AJ18" s="7">
        <f t="shared" si="1"/>
        <v>0</v>
      </c>
      <c r="AK18" s="7">
        <f t="shared" si="1"/>
        <v>0</v>
      </c>
      <c r="AL18" s="7">
        <f t="shared" si="1"/>
        <v>0</v>
      </c>
      <c r="AM18" s="7">
        <f t="shared" si="1"/>
        <v>1</v>
      </c>
      <c r="AN18" s="7">
        <f t="shared" si="1"/>
        <v>0</v>
      </c>
      <c r="AO18" s="7">
        <f t="shared" si="1"/>
        <v>0</v>
      </c>
      <c r="AP18" s="17">
        <f t="shared" si="2"/>
        <v>1.75</v>
      </c>
      <c r="AQ18" s="27">
        <v>1</v>
      </c>
      <c r="AR18" s="7" t="s">
        <v>30</v>
      </c>
      <c r="AS18" s="30">
        <v>4</v>
      </c>
      <c r="AT18" t="s">
        <v>142</v>
      </c>
    </row>
    <row r="19" spans="1:46" ht="12.75" x14ac:dyDescent="0.2">
      <c r="A19" s="7" t="s">
        <v>93</v>
      </c>
      <c r="B19" s="16" t="s">
        <v>45</v>
      </c>
      <c r="C19" s="16" t="s">
        <v>46</v>
      </c>
      <c r="D19" s="16" t="s">
        <v>45</v>
      </c>
      <c r="E19" s="16" t="s">
        <v>45</v>
      </c>
      <c r="F19" s="16" t="s">
        <v>47</v>
      </c>
      <c r="G19" s="16" t="s">
        <v>45</v>
      </c>
      <c r="H19" s="16" t="s">
        <v>46</v>
      </c>
      <c r="I19" s="16" t="s">
        <v>47</v>
      </c>
      <c r="J19" s="16" t="s">
        <v>45</v>
      </c>
      <c r="K19" s="16" t="s">
        <v>48</v>
      </c>
      <c r="L19" s="16" t="s">
        <v>46</v>
      </c>
      <c r="M19" s="16" t="s">
        <v>47</v>
      </c>
      <c r="N19" s="16" t="s">
        <v>46</v>
      </c>
      <c r="O19" s="16" t="s">
        <v>47</v>
      </c>
      <c r="P19" s="16" t="s">
        <v>45</v>
      </c>
      <c r="Q19" s="16" t="s">
        <v>48</v>
      </c>
      <c r="R19" s="16" t="s">
        <v>46</v>
      </c>
      <c r="S19" s="16" t="s">
        <v>47</v>
      </c>
      <c r="T19" s="16" t="s">
        <v>45</v>
      </c>
      <c r="U19" s="16" t="s">
        <v>48</v>
      </c>
      <c r="V19" s="7">
        <f t="shared" si="0"/>
        <v>1</v>
      </c>
      <c r="W19" s="7">
        <f t="shared" si="0"/>
        <v>0</v>
      </c>
      <c r="X19" s="7">
        <f t="shared" si="0"/>
        <v>0</v>
      </c>
      <c r="Y19" s="7">
        <f t="shared" si="0"/>
        <v>0</v>
      </c>
      <c r="Z19" s="7">
        <f t="shared" si="0"/>
        <v>1</v>
      </c>
      <c r="AA19" s="7">
        <f t="shared" si="0"/>
        <v>1</v>
      </c>
      <c r="AB19" s="7">
        <f t="shared" si="1"/>
        <v>0</v>
      </c>
      <c r="AC19" s="7">
        <f t="shared" si="1"/>
        <v>1</v>
      </c>
      <c r="AD19" s="7">
        <f t="shared" si="1"/>
        <v>1</v>
      </c>
      <c r="AE19" s="7">
        <f t="shared" si="1"/>
        <v>0</v>
      </c>
      <c r="AF19" s="7">
        <f t="shared" si="1"/>
        <v>0</v>
      </c>
      <c r="AG19" s="7">
        <f t="shared" si="1"/>
        <v>0</v>
      </c>
      <c r="AH19" s="7">
        <f t="shared" si="1"/>
        <v>0</v>
      </c>
      <c r="AI19" s="7">
        <f t="shared" si="1"/>
        <v>0</v>
      </c>
      <c r="AJ19" s="7">
        <f t="shared" si="1"/>
        <v>0</v>
      </c>
      <c r="AK19" s="7">
        <f t="shared" si="1"/>
        <v>0</v>
      </c>
      <c r="AL19" s="7">
        <f t="shared" si="1"/>
        <v>0</v>
      </c>
      <c r="AM19" s="7">
        <f t="shared" si="1"/>
        <v>1</v>
      </c>
      <c r="AN19" s="7">
        <f t="shared" si="1"/>
        <v>0</v>
      </c>
      <c r="AO19" s="7">
        <f t="shared" si="1"/>
        <v>0</v>
      </c>
      <c r="AP19" s="17">
        <f t="shared" si="2"/>
        <v>2.5</v>
      </c>
      <c r="AQ19" s="27">
        <v>1</v>
      </c>
      <c r="AR19" s="7" t="s">
        <v>31</v>
      </c>
      <c r="AS19" s="30">
        <v>7</v>
      </c>
      <c r="AT19" t="s">
        <v>142</v>
      </c>
    </row>
    <row r="20" spans="1:46" ht="12.75" x14ac:dyDescent="0.2">
      <c r="A20" s="7" t="s">
        <v>94</v>
      </c>
      <c r="B20" s="16" t="s">
        <v>46</v>
      </c>
      <c r="C20" s="16" t="s">
        <v>46</v>
      </c>
      <c r="D20" s="16" t="s">
        <v>46</v>
      </c>
      <c r="E20" s="16" t="s">
        <v>48</v>
      </c>
      <c r="F20" s="16" t="s">
        <v>45</v>
      </c>
      <c r="G20" s="16" t="s">
        <v>45</v>
      </c>
      <c r="H20" s="16" t="s">
        <v>46</v>
      </c>
      <c r="I20" s="16" t="s">
        <v>48</v>
      </c>
      <c r="J20" s="16" t="s">
        <v>47</v>
      </c>
      <c r="K20" s="16" t="s">
        <v>47</v>
      </c>
      <c r="L20" s="16" t="s">
        <v>45</v>
      </c>
      <c r="M20" s="16" t="s">
        <v>48</v>
      </c>
      <c r="N20" s="16" t="s">
        <v>46</v>
      </c>
      <c r="O20" s="16" t="s">
        <v>45</v>
      </c>
      <c r="P20" s="16" t="s">
        <v>47</v>
      </c>
      <c r="Q20" s="16" t="s">
        <v>46</v>
      </c>
      <c r="R20" s="16" t="s">
        <v>48</v>
      </c>
      <c r="S20" s="16" t="s">
        <v>45</v>
      </c>
      <c r="T20" s="16" t="s">
        <v>47</v>
      </c>
      <c r="U20" s="16" t="s">
        <v>6</v>
      </c>
      <c r="V20" s="7">
        <f t="shared" ref="V20:AA35" si="3">IF(B20=B$3,1,0)</f>
        <v>0</v>
      </c>
      <c r="W20" s="7">
        <f t="shared" si="3"/>
        <v>0</v>
      </c>
      <c r="X20" s="7">
        <f t="shared" si="3"/>
        <v>1</v>
      </c>
      <c r="Y20" s="7">
        <f t="shared" si="3"/>
        <v>0</v>
      </c>
      <c r="Z20" s="7">
        <f t="shared" si="3"/>
        <v>0</v>
      </c>
      <c r="AA20" s="7">
        <f t="shared" si="3"/>
        <v>1</v>
      </c>
      <c r="AB20" s="7">
        <f t="shared" si="1"/>
        <v>0</v>
      </c>
      <c r="AC20" s="7">
        <f t="shared" si="1"/>
        <v>0</v>
      </c>
      <c r="AD20" s="7">
        <f t="shared" si="1"/>
        <v>0</v>
      </c>
      <c r="AE20" s="7">
        <f t="shared" si="1"/>
        <v>0</v>
      </c>
      <c r="AF20" s="7">
        <f t="shared" si="1"/>
        <v>1</v>
      </c>
      <c r="AG20" s="7">
        <f t="shared" si="1"/>
        <v>1</v>
      </c>
      <c r="AH20" s="7">
        <f t="shared" si="1"/>
        <v>0</v>
      </c>
      <c r="AI20" s="7">
        <f t="shared" si="1"/>
        <v>1</v>
      </c>
      <c r="AJ20" s="7">
        <f t="shared" si="1"/>
        <v>0</v>
      </c>
      <c r="AK20" s="7">
        <f t="shared" si="1"/>
        <v>1</v>
      </c>
      <c r="AL20" s="7">
        <f t="shared" si="1"/>
        <v>0</v>
      </c>
      <c r="AM20" s="7">
        <f t="shared" si="1"/>
        <v>0</v>
      </c>
      <c r="AN20" s="7">
        <f t="shared" si="1"/>
        <v>0</v>
      </c>
      <c r="AO20" s="7">
        <f t="shared" si="1"/>
        <v>0</v>
      </c>
      <c r="AP20" s="17">
        <f t="shared" si="2"/>
        <v>2.5</v>
      </c>
      <c r="AQ20" s="27">
        <v>2</v>
      </c>
      <c r="AR20" s="7" t="s">
        <v>32</v>
      </c>
      <c r="AS20" s="30">
        <v>4</v>
      </c>
      <c r="AT20" t="s">
        <v>142</v>
      </c>
    </row>
    <row r="21" spans="1:46" ht="12.75" x14ac:dyDescent="0.2">
      <c r="A21" s="7" t="s">
        <v>95</v>
      </c>
      <c r="B21" s="16" t="s">
        <v>45</v>
      </c>
      <c r="C21" s="16" t="s">
        <v>46</v>
      </c>
      <c r="D21" s="16" t="s">
        <v>47</v>
      </c>
      <c r="E21" s="16" t="s">
        <v>47</v>
      </c>
      <c r="F21" s="16" t="s">
        <v>47</v>
      </c>
      <c r="G21" s="16" t="s">
        <v>45</v>
      </c>
      <c r="H21" s="16" t="s">
        <v>46</v>
      </c>
      <c r="I21" s="16" t="s">
        <v>47</v>
      </c>
      <c r="J21" s="16" t="s">
        <v>45</v>
      </c>
      <c r="K21" s="16" t="s">
        <v>48</v>
      </c>
      <c r="L21" s="16" t="s">
        <v>47</v>
      </c>
      <c r="M21" s="16" t="s">
        <v>47</v>
      </c>
      <c r="N21" s="16" t="s">
        <v>46</v>
      </c>
      <c r="O21" s="16" t="s">
        <v>47</v>
      </c>
      <c r="P21" s="16" t="s">
        <v>45</v>
      </c>
      <c r="Q21" s="16" t="s">
        <v>48</v>
      </c>
      <c r="R21" s="16" t="s">
        <v>46</v>
      </c>
      <c r="S21" s="16" t="s">
        <v>47</v>
      </c>
      <c r="T21" s="16" t="s">
        <v>45</v>
      </c>
      <c r="U21" s="16" t="s">
        <v>48</v>
      </c>
      <c r="V21" s="7">
        <f t="shared" si="3"/>
        <v>1</v>
      </c>
      <c r="W21" s="7">
        <f t="shared" si="3"/>
        <v>0</v>
      </c>
      <c r="X21" s="7">
        <f t="shared" si="3"/>
        <v>0</v>
      </c>
      <c r="Y21" s="7">
        <f t="shared" si="3"/>
        <v>1</v>
      </c>
      <c r="Z21" s="7">
        <f t="shared" si="3"/>
        <v>1</v>
      </c>
      <c r="AA21" s="7">
        <f t="shared" si="3"/>
        <v>1</v>
      </c>
      <c r="AB21" s="7">
        <f t="shared" si="1"/>
        <v>0</v>
      </c>
      <c r="AC21" s="7">
        <f t="shared" si="1"/>
        <v>1</v>
      </c>
      <c r="AD21" s="7">
        <f t="shared" si="1"/>
        <v>1</v>
      </c>
      <c r="AE21" s="7">
        <f t="shared" si="1"/>
        <v>0</v>
      </c>
      <c r="AF21" s="7">
        <f t="shared" si="1"/>
        <v>0</v>
      </c>
      <c r="AG21" s="7">
        <f t="shared" si="1"/>
        <v>0</v>
      </c>
      <c r="AH21" s="7">
        <f t="shared" si="1"/>
        <v>0</v>
      </c>
      <c r="AI21" s="7">
        <f t="shared" si="1"/>
        <v>0</v>
      </c>
      <c r="AJ21" s="7">
        <f t="shared" si="1"/>
        <v>0</v>
      </c>
      <c r="AK21" s="7">
        <f t="shared" si="1"/>
        <v>0</v>
      </c>
      <c r="AL21" s="7">
        <f t="shared" si="1"/>
        <v>0</v>
      </c>
      <c r="AM21" s="7">
        <f t="shared" si="1"/>
        <v>1</v>
      </c>
      <c r="AN21" s="7">
        <f t="shared" si="1"/>
        <v>0</v>
      </c>
      <c r="AO21" s="7">
        <f t="shared" si="1"/>
        <v>0</v>
      </c>
      <c r="AP21" s="17">
        <f t="shared" si="2"/>
        <v>2.75</v>
      </c>
      <c r="AQ21" s="27">
        <v>1</v>
      </c>
      <c r="AR21" s="7" t="s">
        <v>33</v>
      </c>
      <c r="AS21" s="30">
        <v>15</v>
      </c>
      <c r="AT21" t="s">
        <v>142</v>
      </c>
    </row>
    <row r="22" spans="1:46" ht="12.75" x14ac:dyDescent="0.2">
      <c r="A22" s="7" t="s">
        <v>96</v>
      </c>
      <c r="B22" s="16" t="s">
        <v>47</v>
      </c>
      <c r="C22" s="16" t="s">
        <v>48</v>
      </c>
      <c r="D22" s="16" t="s">
        <v>46</v>
      </c>
      <c r="E22" s="16" t="s">
        <v>46</v>
      </c>
      <c r="F22" s="16" t="s">
        <v>47</v>
      </c>
      <c r="G22" s="16" t="s">
        <v>45</v>
      </c>
      <c r="H22" s="16" t="s">
        <v>45</v>
      </c>
      <c r="I22" s="16" t="s">
        <v>46</v>
      </c>
      <c r="J22" s="16" t="s">
        <v>47</v>
      </c>
      <c r="K22" s="16" t="s">
        <v>47</v>
      </c>
      <c r="L22" s="16" t="s">
        <v>45</v>
      </c>
      <c r="M22" s="16" t="s">
        <v>46</v>
      </c>
      <c r="N22" s="16" t="s">
        <v>46</v>
      </c>
      <c r="O22" s="16" t="s">
        <v>46</v>
      </c>
      <c r="P22" s="16" t="s">
        <v>6</v>
      </c>
      <c r="Q22" s="16" t="s">
        <v>45</v>
      </c>
      <c r="R22" s="16" t="s">
        <v>47</v>
      </c>
      <c r="S22" s="16" t="s">
        <v>48</v>
      </c>
      <c r="T22" s="16" t="s">
        <v>46</v>
      </c>
      <c r="U22" s="16" t="s">
        <v>47</v>
      </c>
      <c r="V22" s="7">
        <f t="shared" si="3"/>
        <v>0</v>
      </c>
      <c r="W22" s="7">
        <f t="shared" si="3"/>
        <v>0</v>
      </c>
      <c r="X22" s="7">
        <f t="shared" si="3"/>
        <v>1</v>
      </c>
      <c r="Y22" s="7">
        <f t="shared" si="3"/>
        <v>0</v>
      </c>
      <c r="Z22" s="7">
        <f t="shared" si="3"/>
        <v>1</v>
      </c>
      <c r="AA22" s="7">
        <f t="shared" si="3"/>
        <v>1</v>
      </c>
      <c r="AB22" s="7">
        <f t="shared" si="1"/>
        <v>1</v>
      </c>
      <c r="AC22" s="7">
        <f t="shared" si="1"/>
        <v>0</v>
      </c>
      <c r="AD22" s="7">
        <f t="shared" si="1"/>
        <v>0</v>
      </c>
      <c r="AE22" s="7">
        <f t="shared" ref="AE22:AO35" si="4">IF(K22=J$3,1,0)</f>
        <v>0</v>
      </c>
      <c r="AF22" s="7">
        <f t="shared" si="4"/>
        <v>1</v>
      </c>
      <c r="AG22" s="7">
        <f t="shared" si="4"/>
        <v>0</v>
      </c>
      <c r="AH22" s="7">
        <f t="shared" si="4"/>
        <v>0</v>
      </c>
      <c r="AI22" s="7">
        <f t="shared" si="4"/>
        <v>0</v>
      </c>
      <c r="AJ22" s="7">
        <f t="shared" si="4"/>
        <v>0</v>
      </c>
      <c r="AK22" s="7">
        <f t="shared" si="4"/>
        <v>0</v>
      </c>
      <c r="AL22" s="7">
        <f t="shared" si="4"/>
        <v>0</v>
      </c>
      <c r="AM22" s="7">
        <f t="shared" si="4"/>
        <v>0</v>
      </c>
      <c r="AN22" s="7">
        <f t="shared" si="4"/>
        <v>0</v>
      </c>
      <c r="AO22" s="7">
        <f t="shared" si="4"/>
        <v>0</v>
      </c>
      <c r="AP22" s="17">
        <f t="shared" si="2"/>
        <v>2.25</v>
      </c>
      <c r="AQ22" s="27">
        <v>1</v>
      </c>
      <c r="AR22" s="7" t="s">
        <v>34</v>
      </c>
      <c r="AS22" s="30">
        <v>2</v>
      </c>
      <c r="AT22" t="s">
        <v>142</v>
      </c>
    </row>
    <row r="23" spans="1:46" ht="13.5" thickBot="1" x14ac:dyDescent="0.25">
      <c r="A23" s="7" t="s">
        <v>97</v>
      </c>
      <c r="B23" s="16" t="s">
        <v>45</v>
      </c>
      <c r="C23" s="16" t="s">
        <v>46</v>
      </c>
      <c r="D23" s="16" t="s">
        <v>45</v>
      </c>
      <c r="E23" s="16" t="s">
        <v>46</v>
      </c>
      <c r="F23" s="16" t="s">
        <v>47</v>
      </c>
      <c r="G23" s="16" t="s">
        <v>45</v>
      </c>
      <c r="H23" s="16" t="s">
        <v>46</v>
      </c>
      <c r="I23" s="16" t="s">
        <v>47</v>
      </c>
      <c r="J23" s="16" t="s">
        <v>45</v>
      </c>
      <c r="K23" s="16" t="s">
        <v>48</v>
      </c>
      <c r="L23" s="16" t="s">
        <v>47</v>
      </c>
      <c r="M23" s="16" t="s">
        <v>47</v>
      </c>
      <c r="N23" s="16" t="s">
        <v>46</v>
      </c>
      <c r="O23" s="16" t="s">
        <v>47</v>
      </c>
      <c r="P23" s="16" t="s">
        <v>45</v>
      </c>
      <c r="Q23" s="16" t="s">
        <v>48</v>
      </c>
      <c r="R23" s="16" t="s">
        <v>46</v>
      </c>
      <c r="S23" s="16" t="s">
        <v>47</v>
      </c>
      <c r="T23" s="16" t="s">
        <v>45</v>
      </c>
      <c r="U23" s="16" t="s">
        <v>46</v>
      </c>
      <c r="V23" s="7">
        <f t="shared" si="3"/>
        <v>1</v>
      </c>
      <c r="W23" s="7">
        <f t="shared" si="3"/>
        <v>0</v>
      </c>
      <c r="X23" s="7">
        <f t="shared" si="3"/>
        <v>0</v>
      </c>
      <c r="Y23" s="7">
        <f t="shared" si="3"/>
        <v>0</v>
      </c>
      <c r="Z23" s="7">
        <f t="shared" si="3"/>
        <v>1</v>
      </c>
      <c r="AA23" s="7">
        <f t="shared" si="3"/>
        <v>1</v>
      </c>
      <c r="AB23" s="7">
        <f t="shared" ref="AB23:AD35" si="5">IF(H23=G$3,1,0)</f>
        <v>0</v>
      </c>
      <c r="AC23" s="7">
        <f t="shared" si="5"/>
        <v>1</v>
      </c>
      <c r="AD23" s="7">
        <f t="shared" si="5"/>
        <v>1</v>
      </c>
      <c r="AE23" s="7">
        <f t="shared" si="4"/>
        <v>0</v>
      </c>
      <c r="AF23" s="7">
        <f t="shared" si="4"/>
        <v>0</v>
      </c>
      <c r="AG23" s="7">
        <f t="shared" si="4"/>
        <v>0</v>
      </c>
      <c r="AH23" s="7">
        <f t="shared" si="4"/>
        <v>0</v>
      </c>
      <c r="AI23" s="7">
        <f t="shared" si="4"/>
        <v>0</v>
      </c>
      <c r="AJ23" s="7">
        <f t="shared" si="4"/>
        <v>0</v>
      </c>
      <c r="AK23" s="7">
        <f t="shared" si="4"/>
        <v>0</v>
      </c>
      <c r="AL23" s="7">
        <f t="shared" si="4"/>
        <v>0</v>
      </c>
      <c r="AM23" s="7">
        <f t="shared" si="4"/>
        <v>1</v>
      </c>
      <c r="AN23" s="7">
        <f t="shared" si="4"/>
        <v>0</v>
      </c>
      <c r="AO23" s="7">
        <f t="shared" si="4"/>
        <v>1</v>
      </c>
      <c r="AP23" s="17">
        <f t="shared" si="2"/>
        <v>2.75</v>
      </c>
      <c r="AQ23" s="27">
        <v>1</v>
      </c>
      <c r="AR23" s="7" t="s">
        <v>35</v>
      </c>
      <c r="AS23" s="49">
        <v>5</v>
      </c>
      <c r="AT23" t="s">
        <v>142</v>
      </c>
    </row>
    <row r="24" spans="1:46" ht="12.75" x14ac:dyDescent="0.2">
      <c r="A24" s="7" t="s">
        <v>98</v>
      </c>
      <c r="B24" s="16" t="s">
        <v>45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45</v>
      </c>
      <c r="H24" s="16" t="s">
        <v>45</v>
      </c>
      <c r="I24" s="16" t="s">
        <v>46</v>
      </c>
      <c r="J24" s="16" t="s">
        <v>48</v>
      </c>
      <c r="K24" s="16" t="s">
        <v>45</v>
      </c>
      <c r="L24" s="16" t="s">
        <v>46</v>
      </c>
      <c r="M24" s="16" t="s">
        <v>46</v>
      </c>
      <c r="N24" s="16" t="s">
        <v>45</v>
      </c>
      <c r="O24" s="16" t="s">
        <v>47</v>
      </c>
      <c r="P24" s="16" t="s">
        <v>48</v>
      </c>
      <c r="Q24" s="16" t="s">
        <v>48</v>
      </c>
      <c r="R24" s="16" t="s">
        <v>46</v>
      </c>
      <c r="S24" s="16" t="s">
        <v>47</v>
      </c>
      <c r="T24" s="16" t="s">
        <v>47</v>
      </c>
      <c r="U24" s="16" t="s">
        <v>48</v>
      </c>
      <c r="V24" s="7">
        <f t="shared" si="3"/>
        <v>1</v>
      </c>
      <c r="W24" s="7">
        <f t="shared" si="3"/>
        <v>0</v>
      </c>
      <c r="X24" s="7">
        <f t="shared" si="3"/>
        <v>0</v>
      </c>
      <c r="Y24" s="7">
        <f t="shared" si="3"/>
        <v>1</v>
      </c>
      <c r="Z24" s="7">
        <f t="shared" si="3"/>
        <v>1</v>
      </c>
      <c r="AA24" s="7">
        <f t="shared" si="3"/>
        <v>1</v>
      </c>
      <c r="AB24" s="7">
        <f t="shared" si="5"/>
        <v>1</v>
      </c>
      <c r="AC24" s="7">
        <f t="shared" si="5"/>
        <v>0</v>
      </c>
      <c r="AD24" s="7">
        <f t="shared" si="5"/>
        <v>0</v>
      </c>
      <c r="AE24" s="7">
        <f t="shared" si="4"/>
        <v>1</v>
      </c>
      <c r="AF24" s="7">
        <f t="shared" si="4"/>
        <v>0</v>
      </c>
      <c r="AG24" s="7">
        <f t="shared" si="4"/>
        <v>0</v>
      </c>
      <c r="AH24" s="7">
        <f t="shared" si="4"/>
        <v>1</v>
      </c>
      <c r="AI24" s="7">
        <f t="shared" si="4"/>
        <v>0</v>
      </c>
      <c r="AJ24" s="7">
        <f t="shared" si="4"/>
        <v>1</v>
      </c>
      <c r="AK24" s="7">
        <f t="shared" si="4"/>
        <v>0</v>
      </c>
      <c r="AL24" s="7">
        <f t="shared" si="4"/>
        <v>0</v>
      </c>
      <c r="AM24" s="7">
        <f t="shared" si="4"/>
        <v>1</v>
      </c>
      <c r="AN24" s="7">
        <f t="shared" si="4"/>
        <v>0</v>
      </c>
      <c r="AO24" s="7">
        <f t="shared" si="4"/>
        <v>0</v>
      </c>
      <c r="AP24" s="17">
        <f t="shared" si="2"/>
        <v>3.25</v>
      </c>
      <c r="AS24" s="55" t="s">
        <v>178</v>
      </c>
      <c r="AT24" t="s">
        <v>142</v>
      </c>
    </row>
    <row r="25" spans="1:46" ht="12.75" x14ac:dyDescent="0.2">
      <c r="A25" s="7" t="s">
        <v>99</v>
      </c>
      <c r="B25" s="16" t="s">
        <v>45</v>
      </c>
      <c r="C25" s="16" t="s">
        <v>46</v>
      </c>
      <c r="D25" s="16" t="s">
        <v>45</v>
      </c>
      <c r="E25" s="16" t="s">
        <v>46</v>
      </c>
      <c r="F25" s="16" t="s">
        <v>47</v>
      </c>
      <c r="G25" s="16" t="s">
        <v>45</v>
      </c>
      <c r="H25" s="16" t="s">
        <v>46</v>
      </c>
      <c r="I25" s="16" t="s">
        <v>47</v>
      </c>
      <c r="J25" s="16" t="s">
        <v>45</v>
      </c>
      <c r="K25" s="16" t="s">
        <v>48</v>
      </c>
      <c r="L25" s="16" t="s">
        <v>47</v>
      </c>
      <c r="M25" s="16" t="s">
        <v>47</v>
      </c>
      <c r="N25" s="16" t="s">
        <v>48</v>
      </c>
      <c r="O25" s="16" t="s">
        <v>47</v>
      </c>
      <c r="P25" s="16" t="s">
        <v>48</v>
      </c>
      <c r="Q25" s="16" t="s">
        <v>47</v>
      </c>
      <c r="R25" s="16" t="s">
        <v>45</v>
      </c>
      <c r="S25" s="16" t="s">
        <v>47</v>
      </c>
      <c r="T25" s="16" t="s">
        <v>45</v>
      </c>
      <c r="U25" s="16" t="s">
        <v>47</v>
      </c>
      <c r="V25" s="7">
        <f t="shared" si="3"/>
        <v>1</v>
      </c>
      <c r="W25" s="7">
        <f t="shared" si="3"/>
        <v>0</v>
      </c>
      <c r="X25" s="7">
        <f t="shared" si="3"/>
        <v>0</v>
      </c>
      <c r="Y25" s="7">
        <f t="shared" si="3"/>
        <v>0</v>
      </c>
      <c r="Z25" s="7">
        <f t="shared" si="3"/>
        <v>1</v>
      </c>
      <c r="AA25" s="7">
        <f t="shared" si="3"/>
        <v>1</v>
      </c>
      <c r="AB25" s="7">
        <f t="shared" si="5"/>
        <v>0</v>
      </c>
      <c r="AC25" s="7">
        <f t="shared" si="5"/>
        <v>1</v>
      </c>
      <c r="AD25" s="7">
        <f t="shared" si="5"/>
        <v>1</v>
      </c>
      <c r="AE25" s="7">
        <f t="shared" si="4"/>
        <v>0</v>
      </c>
      <c r="AF25" s="7">
        <f t="shared" si="4"/>
        <v>0</v>
      </c>
      <c r="AG25" s="7">
        <f t="shared" si="4"/>
        <v>0</v>
      </c>
      <c r="AH25" s="7">
        <f t="shared" si="4"/>
        <v>0</v>
      </c>
      <c r="AI25" s="7">
        <f t="shared" si="4"/>
        <v>0</v>
      </c>
      <c r="AJ25" s="7">
        <f t="shared" si="4"/>
        <v>1</v>
      </c>
      <c r="AK25" s="7">
        <f t="shared" si="4"/>
        <v>0</v>
      </c>
      <c r="AL25" s="7">
        <f t="shared" si="4"/>
        <v>1</v>
      </c>
      <c r="AM25" s="7">
        <f t="shared" si="4"/>
        <v>1</v>
      </c>
      <c r="AN25" s="7">
        <f t="shared" si="4"/>
        <v>0</v>
      </c>
      <c r="AO25" s="7">
        <f t="shared" si="4"/>
        <v>0</v>
      </c>
      <c r="AP25" s="17">
        <f t="shared" si="2"/>
        <v>3</v>
      </c>
      <c r="AS25" s="56"/>
      <c r="AT25" t="s">
        <v>142</v>
      </c>
    </row>
    <row r="26" spans="1:46" ht="12.75" x14ac:dyDescent="0.2">
      <c r="A26" s="7" t="s">
        <v>100</v>
      </c>
      <c r="B26" s="16" t="s">
        <v>45</v>
      </c>
      <c r="C26" s="16" t="s">
        <v>47</v>
      </c>
      <c r="D26" s="16" t="s">
        <v>46</v>
      </c>
      <c r="E26" s="16" t="s">
        <v>47</v>
      </c>
      <c r="F26" s="16" t="s">
        <v>45</v>
      </c>
      <c r="G26" s="16" t="s">
        <v>47</v>
      </c>
      <c r="H26" s="16" t="s">
        <v>48</v>
      </c>
      <c r="I26" s="16" t="s">
        <v>48</v>
      </c>
      <c r="J26" s="16" t="s">
        <v>45</v>
      </c>
      <c r="K26" s="16" t="s">
        <v>47</v>
      </c>
      <c r="L26" s="16" t="s">
        <v>48</v>
      </c>
      <c r="M26" s="16" t="s">
        <v>46</v>
      </c>
      <c r="N26" s="16" t="s">
        <v>45</v>
      </c>
      <c r="O26" s="16" t="s">
        <v>47</v>
      </c>
      <c r="P26" s="16" t="s">
        <v>45</v>
      </c>
      <c r="Q26" s="16" t="s">
        <v>45</v>
      </c>
      <c r="R26" s="16" t="s">
        <v>47</v>
      </c>
      <c r="S26" s="16" t="s">
        <v>45</v>
      </c>
      <c r="T26" s="16" t="s">
        <v>46</v>
      </c>
      <c r="U26" s="16" t="s">
        <v>48</v>
      </c>
      <c r="V26" s="7">
        <f t="shared" si="3"/>
        <v>1</v>
      </c>
      <c r="W26" s="7">
        <f t="shared" si="3"/>
        <v>0</v>
      </c>
      <c r="X26" s="7">
        <f t="shared" si="3"/>
        <v>1</v>
      </c>
      <c r="Y26" s="7">
        <f t="shared" si="3"/>
        <v>1</v>
      </c>
      <c r="Z26" s="7">
        <f t="shared" si="3"/>
        <v>0</v>
      </c>
      <c r="AA26" s="7">
        <f t="shared" si="3"/>
        <v>0</v>
      </c>
      <c r="AB26" s="7">
        <f t="shared" si="5"/>
        <v>0</v>
      </c>
      <c r="AC26" s="7">
        <f t="shared" si="5"/>
        <v>0</v>
      </c>
      <c r="AD26" s="7">
        <f t="shared" si="5"/>
        <v>1</v>
      </c>
      <c r="AE26" s="7">
        <f t="shared" si="4"/>
        <v>0</v>
      </c>
      <c r="AF26" s="7">
        <f t="shared" si="4"/>
        <v>0</v>
      </c>
      <c r="AG26" s="7">
        <f t="shared" si="4"/>
        <v>0</v>
      </c>
      <c r="AH26" s="7">
        <f t="shared" si="4"/>
        <v>1</v>
      </c>
      <c r="AI26" s="7">
        <f t="shared" si="4"/>
        <v>0</v>
      </c>
      <c r="AJ26" s="7">
        <f t="shared" si="4"/>
        <v>0</v>
      </c>
      <c r="AK26" s="7">
        <f t="shared" si="4"/>
        <v>0</v>
      </c>
      <c r="AL26" s="7">
        <f t="shared" si="4"/>
        <v>0</v>
      </c>
      <c r="AM26" s="7">
        <f t="shared" si="4"/>
        <v>0</v>
      </c>
      <c r="AN26" s="7">
        <f t="shared" si="4"/>
        <v>0</v>
      </c>
      <c r="AO26" s="7">
        <f t="shared" si="4"/>
        <v>0</v>
      </c>
      <c r="AP26" s="17">
        <f t="shared" si="2"/>
        <v>2.25</v>
      </c>
      <c r="AS26" s="56"/>
      <c r="AT26" t="s">
        <v>142</v>
      </c>
    </row>
    <row r="27" spans="1:46" ht="12.75" x14ac:dyDescent="0.2">
      <c r="A27" s="7" t="s">
        <v>101</v>
      </c>
      <c r="B27" s="16" t="s">
        <v>45</v>
      </c>
      <c r="C27" s="16" t="s">
        <v>47</v>
      </c>
      <c r="D27" s="16" t="s">
        <v>46</v>
      </c>
      <c r="E27" s="16" t="s">
        <v>46</v>
      </c>
      <c r="F27" s="16" t="s">
        <v>46</v>
      </c>
      <c r="G27" s="16" t="s">
        <v>47</v>
      </c>
      <c r="H27" s="16" t="s">
        <v>48</v>
      </c>
      <c r="I27" s="16" t="s">
        <v>48</v>
      </c>
      <c r="J27" s="16" t="s">
        <v>47</v>
      </c>
      <c r="K27" s="16" t="s">
        <v>47</v>
      </c>
      <c r="L27" s="16" t="s">
        <v>48</v>
      </c>
      <c r="M27" s="16" t="s">
        <v>47</v>
      </c>
      <c r="N27" s="16" t="s">
        <v>48</v>
      </c>
      <c r="O27" s="16" t="s">
        <v>47</v>
      </c>
      <c r="P27" s="16" t="s">
        <v>48</v>
      </c>
      <c r="Q27" s="16" t="s">
        <v>45</v>
      </c>
      <c r="R27" s="16" t="s">
        <v>47</v>
      </c>
      <c r="S27" s="16" t="s">
        <v>47</v>
      </c>
      <c r="T27" s="16" t="s">
        <v>47</v>
      </c>
      <c r="U27" s="16" t="s">
        <v>48</v>
      </c>
      <c r="V27" s="7">
        <f t="shared" si="3"/>
        <v>1</v>
      </c>
      <c r="W27" s="7">
        <f t="shared" si="3"/>
        <v>0</v>
      </c>
      <c r="X27" s="7">
        <f t="shared" si="3"/>
        <v>1</v>
      </c>
      <c r="Y27" s="7">
        <f t="shared" si="3"/>
        <v>0</v>
      </c>
      <c r="Z27" s="7">
        <f t="shared" si="3"/>
        <v>0</v>
      </c>
      <c r="AA27" s="7">
        <f t="shared" si="3"/>
        <v>0</v>
      </c>
      <c r="AB27" s="7">
        <f t="shared" si="5"/>
        <v>0</v>
      </c>
      <c r="AC27" s="7">
        <f t="shared" si="5"/>
        <v>0</v>
      </c>
      <c r="AD27" s="7">
        <f t="shared" si="5"/>
        <v>0</v>
      </c>
      <c r="AE27" s="7">
        <f t="shared" si="4"/>
        <v>0</v>
      </c>
      <c r="AF27" s="7">
        <f t="shared" si="4"/>
        <v>0</v>
      </c>
      <c r="AG27" s="7">
        <f t="shared" si="4"/>
        <v>0</v>
      </c>
      <c r="AH27" s="7">
        <f t="shared" si="4"/>
        <v>0</v>
      </c>
      <c r="AI27" s="7">
        <f t="shared" si="4"/>
        <v>0</v>
      </c>
      <c r="AJ27" s="7">
        <f t="shared" si="4"/>
        <v>1</v>
      </c>
      <c r="AK27" s="7">
        <f t="shared" si="4"/>
        <v>0</v>
      </c>
      <c r="AL27" s="7">
        <f t="shared" si="4"/>
        <v>0</v>
      </c>
      <c r="AM27" s="7">
        <f t="shared" si="4"/>
        <v>1</v>
      </c>
      <c r="AN27" s="7">
        <f t="shared" si="4"/>
        <v>0</v>
      </c>
      <c r="AO27" s="7">
        <f t="shared" si="4"/>
        <v>0</v>
      </c>
      <c r="AP27" s="17">
        <f t="shared" si="2"/>
        <v>2</v>
      </c>
      <c r="AS27" s="56"/>
      <c r="AT27" t="s">
        <v>142</v>
      </c>
    </row>
    <row r="28" spans="1:46" ht="12.75" x14ac:dyDescent="0.2">
      <c r="A28" s="7" t="s">
        <v>102</v>
      </c>
      <c r="B28" s="16" t="s">
        <v>47</v>
      </c>
      <c r="C28" s="16" t="s">
        <v>45</v>
      </c>
      <c r="D28" s="16" t="s">
        <v>46</v>
      </c>
      <c r="E28" s="16" t="s">
        <v>46</v>
      </c>
      <c r="F28" s="16" t="s">
        <v>45</v>
      </c>
      <c r="G28" s="16" t="s">
        <v>47</v>
      </c>
      <c r="H28" s="16" t="s">
        <v>45</v>
      </c>
      <c r="I28" s="16" t="s">
        <v>48</v>
      </c>
      <c r="J28" s="16" t="s">
        <v>46</v>
      </c>
      <c r="K28" s="16" t="s">
        <v>48</v>
      </c>
      <c r="L28" s="16" t="s">
        <v>46</v>
      </c>
      <c r="M28" s="16" t="s">
        <v>46</v>
      </c>
      <c r="N28" s="16" t="s">
        <v>48</v>
      </c>
      <c r="O28" s="16" t="s">
        <v>48</v>
      </c>
      <c r="P28" s="16" t="s">
        <v>46</v>
      </c>
      <c r="Q28" s="16" t="s">
        <v>45</v>
      </c>
      <c r="R28" s="16" t="s">
        <v>47</v>
      </c>
      <c r="S28" s="16" t="s">
        <v>46</v>
      </c>
      <c r="T28" s="16" t="s">
        <v>47</v>
      </c>
      <c r="U28" s="16" t="s">
        <v>45</v>
      </c>
      <c r="V28" s="7">
        <f t="shared" si="3"/>
        <v>0</v>
      </c>
      <c r="W28" s="7">
        <f t="shared" si="3"/>
        <v>1</v>
      </c>
      <c r="X28" s="7">
        <f t="shared" si="3"/>
        <v>1</v>
      </c>
      <c r="Y28" s="7">
        <f t="shared" si="3"/>
        <v>0</v>
      </c>
      <c r="Z28" s="7">
        <f t="shared" si="3"/>
        <v>0</v>
      </c>
      <c r="AA28" s="7">
        <f t="shared" si="3"/>
        <v>0</v>
      </c>
      <c r="AB28" s="7">
        <f t="shared" si="5"/>
        <v>1</v>
      </c>
      <c r="AC28" s="7">
        <f t="shared" si="5"/>
        <v>0</v>
      </c>
      <c r="AD28" s="7">
        <f t="shared" si="5"/>
        <v>0</v>
      </c>
      <c r="AE28" s="7">
        <f t="shared" si="4"/>
        <v>0</v>
      </c>
      <c r="AF28" s="7">
        <f t="shared" si="4"/>
        <v>0</v>
      </c>
      <c r="AG28" s="7">
        <f t="shared" si="4"/>
        <v>0</v>
      </c>
      <c r="AH28" s="7">
        <f t="shared" si="4"/>
        <v>0</v>
      </c>
      <c r="AI28" s="7">
        <f t="shared" si="4"/>
        <v>0</v>
      </c>
      <c r="AJ28" s="7">
        <f t="shared" si="4"/>
        <v>0</v>
      </c>
      <c r="AK28" s="7">
        <f t="shared" si="4"/>
        <v>0</v>
      </c>
      <c r="AL28" s="7">
        <f t="shared" si="4"/>
        <v>0</v>
      </c>
      <c r="AM28" s="7">
        <f t="shared" si="4"/>
        <v>0</v>
      </c>
      <c r="AN28" s="7">
        <f t="shared" si="4"/>
        <v>0</v>
      </c>
      <c r="AO28" s="7">
        <f t="shared" si="4"/>
        <v>0</v>
      </c>
      <c r="AP28" s="17">
        <f t="shared" si="2"/>
        <v>1.75</v>
      </c>
      <c r="AS28" s="56"/>
      <c r="AT28" t="s">
        <v>142</v>
      </c>
    </row>
    <row r="29" spans="1:46" ht="12.75" x14ac:dyDescent="0.2">
      <c r="A29" s="7" t="s">
        <v>103</v>
      </c>
      <c r="B29" s="16" t="s">
        <v>47</v>
      </c>
      <c r="C29" s="16" t="s">
        <v>47</v>
      </c>
      <c r="D29" s="16" t="s">
        <v>48</v>
      </c>
      <c r="E29" s="16" t="s">
        <v>47</v>
      </c>
      <c r="F29" s="16" t="s">
        <v>48</v>
      </c>
      <c r="G29" s="16" t="s">
        <v>48</v>
      </c>
      <c r="H29" s="16" t="s">
        <v>46</v>
      </c>
      <c r="I29" s="16" t="s">
        <v>48</v>
      </c>
      <c r="J29" s="16" t="s">
        <v>47</v>
      </c>
      <c r="K29" s="16" t="s">
        <v>48</v>
      </c>
      <c r="L29" s="16" t="s">
        <v>46</v>
      </c>
      <c r="M29" s="16" t="s">
        <v>48</v>
      </c>
      <c r="N29" s="16" t="s">
        <v>48</v>
      </c>
      <c r="O29" s="16" t="s">
        <v>48</v>
      </c>
      <c r="P29" s="16" t="s">
        <v>47</v>
      </c>
      <c r="Q29" s="16" t="s">
        <v>45</v>
      </c>
      <c r="R29" s="16" t="s">
        <v>47</v>
      </c>
      <c r="S29" s="16" t="s">
        <v>46</v>
      </c>
      <c r="T29" s="16" t="s">
        <v>46</v>
      </c>
      <c r="U29" s="16" t="s">
        <v>47</v>
      </c>
      <c r="V29" s="7">
        <f t="shared" si="3"/>
        <v>0</v>
      </c>
      <c r="W29" s="7">
        <f t="shared" si="3"/>
        <v>0</v>
      </c>
      <c r="X29" s="7">
        <f t="shared" si="3"/>
        <v>0</v>
      </c>
      <c r="Y29" s="7">
        <f t="shared" si="3"/>
        <v>1</v>
      </c>
      <c r="Z29" s="7">
        <f t="shared" si="3"/>
        <v>0</v>
      </c>
      <c r="AA29" s="7">
        <f t="shared" si="3"/>
        <v>0</v>
      </c>
      <c r="AB29" s="7">
        <f t="shared" si="5"/>
        <v>0</v>
      </c>
      <c r="AC29" s="7">
        <f t="shared" si="5"/>
        <v>0</v>
      </c>
      <c r="AD29" s="7">
        <f t="shared" si="5"/>
        <v>0</v>
      </c>
      <c r="AE29" s="7">
        <f t="shared" si="4"/>
        <v>0</v>
      </c>
      <c r="AF29" s="7">
        <f t="shared" si="4"/>
        <v>0</v>
      </c>
      <c r="AG29" s="7">
        <f t="shared" si="4"/>
        <v>1</v>
      </c>
      <c r="AH29" s="7">
        <f t="shared" si="4"/>
        <v>0</v>
      </c>
      <c r="AI29" s="7">
        <f t="shared" si="4"/>
        <v>0</v>
      </c>
      <c r="AJ29" s="7">
        <f t="shared" si="4"/>
        <v>0</v>
      </c>
      <c r="AK29" s="7">
        <f t="shared" si="4"/>
        <v>0</v>
      </c>
      <c r="AL29" s="7">
        <f t="shared" si="4"/>
        <v>0</v>
      </c>
      <c r="AM29" s="7">
        <f t="shared" si="4"/>
        <v>0</v>
      </c>
      <c r="AN29" s="7">
        <f t="shared" si="4"/>
        <v>0</v>
      </c>
      <c r="AO29" s="7">
        <f t="shared" si="4"/>
        <v>0</v>
      </c>
      <c r="AP29" s="17">
        <f t="shared" si="2"/>
        <v>1.5</v>
      </c>
      <c r="AS29" s="56"/>
      <c r="AT29" t="s">
        <v>142</v>
      </c>
    </row>
    <row r="30" spans="1:46" ht="12.75" x14ac:dyDescent="0.2">
      <c r="A30" s="7" t="s">
        <v>104</v>
      </c>
      <c r="B30" s="16" t="s">
        <v>45</v>
      </c>
      <c r="C30" s="16" t="s">
        <v>46</v>
      </c>
      <c r="D30" s="16" t="s">
        <v>47</v>
      </c>
      <c r="E30" s="16" t="s">
        <v>48</v>
      </c>
      <c r="F30" s="16" t="s">
        <v>45</v>
      </c>
      <c r="G30" s="16" t="s">
        <v>47</v>
      </c>
      <c r="H30" s="16" t="s">
        <v>46</v>
      </c>
      <c r="I30" s="16" t="s">
        <v>48</v>
      </c>
      <c r="J30" s="16" t="s">
        <v>45</v>
      </c>
      <c r="K30" s="16" t="s">
        <v>46</v>
      </c>
      <c r="L30" s="16" t="s">
        <v>45</v>
      </c>
      <c r="M30" s="16" t="s">
        <v>48</v>
      </c>
      <c r="N30" s="16" t="s">
        <v>47</v>
      </c>
      <c r="O30" s="16" t="s">
        <v>48</v>
      </c>
      <c r="P30" s="16" t="s">
        <v>48</v>
      </c>
      <c r="Q30" s="16" t="s">
        <v>46</v>
      </c>
      <c r="R30" s="16" t="s">
        <v>48</v>
      </c>
      <c r="S30" s="16" t="s">
        <v>45</v>
      </c>
      <c r="T30" s="16" t="s">
        <v>46</v>
      </c>
      <c r="U30" s="16" t="s">
        <v>47</v>
      </c>
      <c r="V30" s="7">
        <f t="shared" si="3"/>
        <v>1</v>
      </c>
      <c r="W30" s="7">
        <f t="shared" si="3"/>
        <v>0</v>
      </c>
      <c r="X30" s="7">
        <f t="shared" si="3"/>
        <v>0</v>
      </c>
      <c r="Y30" s="7">
        <f t="shared" si="3"/>
        <v>0</v>
      </c>
      <c r="Z30" s="7">
        <f t="shared" si="3"/>
        <v>0</v>
      </c>
      <c r="AA30" s="7">
        <f t="shared" si="3"/>
        <v>0</v>
      </c>
      <c r="AB30" s="7">
        <f t="shared" si="5"/>
        <v>0</v>
      </c>
      <c r="AC30" s="7">
        <f t="shared" si="5"/>
        <v>0</v>
      </c>
      <c r="AD30" s="7">
        <f t="shared" si="5"/>
        <v>1</v>
      </c>
      <c r="AE30" s="7">
        <f t="shared" si="4"/>
        <v>0</v>
      </c>
      <c r="AF30" s="7">
        <f t="shared" si="4"/>
        <v>1</v>
      </c>
      <c r="AG30" s="7">
        <f t="shared" si="4"/>
        <v>1</v>
      </c>
      <c r="AH30" s="7">
        <f t="shared" si="4"/>
        <v>0</v>
      </c>
      <c r="AI30" s="7">
        <f t="shared" si="4"/>
        <v>0</v>
      </c>
      <c r="AJ30" s="7">
        <f t="shared" si="4"/>
        <v>1</v>
      </c>
      <c r="AK30" s="7">
        <f t="shared" si="4"/>
        <v>1</v>
      </c>
      <c r="AL30" s="7">
        <f t="shared" si="4"/>
        <v>0</v>
      </c>
      <c r="AM30" s="7">
        <f t="shared" si="4"/>
        <v>0</v>
      </c>
      <c r="AN30" s="7">
        <f t="shared" si="4"/>
        <v>0</v>
      </c>
      <c r="AO30" s="7">
        <f t="shared" si="4"/>
        <v>0</v>
      </c>
      <c r="AP30" s="17">
        <f t="shared" si="2"/>
        <v>2.5</v>
      </c>
      <c r="AS30" s="56"/>
      <c r="AT30" t="s">
        <v>142</v>
      </c>
    </row>
    <row r="31" spans="1:46" ht="12.75" x14ac:dyDescent="0.2">
      <c r="A31" s="7" t="s">
        <v>105</v>
      </c>
      <c r="B31" s="16" t="s">
        <v>45</v>
      </c>
      <c r="C31" s="16" t="s">
        <v>46</v>
      </c>
      <c r="D31" s="16" t="s">
        <v>47</v>
      </c>
      <c r="E31" s="16" t="s">
        <v>47</v>
      </c>
      <c r="F31" s="16" t="s">
        <v>45</v>
      </c>
      <c r="G31" s="16" t="s">
        <v>48</v>
      </c>
      <c r="H31" s="16" t="s">
        <v>46</v>
      </c>
      <c r="I31" s="16" t="s">
        <v>48</v>
      </c>
      <c r="J31" s="16" t="s">
        <v>47</v>
      </c>
      <c r="K31" s="16" t="s">
        <v>45</v>
      </c>
      <c r="L31" s="16" t="s">
        <v>48</v>
      </c>
      <c r="M31" s="16" t="s">
        <v>45</v>
      </c>
      <c r="N31" s="16" t="s">
        <v>45</v>
      </c>
      <c r="O31" s="16" t="s">
        <v>48</v>
      </c>
      <c r="P31" s="16" t="s">
        <v>45</v>
      </c>
      <c r="Q31" s="16" t="s">
        <v>46</v>
      </c>
      <c r="R31" s="16" t="s">
        <v>45</v>
      </c>
      <c r="S31" s="16" t="s">
        <v>46</v>
      </c>
      <c r="T31" s="16" t="s">
        <v>47</v>
      </c>
      <c r="U31" s="16" t="s">
        <v>45</v>
      </c>
      <c r="V31" s="7">
        <f t="shared" si="3"/>
        <v>1</v>
      </c>
      <c r="W31" s="7">
        <f t="shared" si="3"/>
        <v>0</v>
      </c>
      <c r="X31" s="7">
        <f t="shared" si="3"/>
        <v>0</v>
      </c>
      <c r="Y31" s="7">
        <f t="shared" si="3"/>
        <v>1</v>
      </c>
      <c r="Z31" s="7">
        <f t="shared" si="3"/>
        <v>0</v>
      </c>
      <c r="AA31" s="7">
        <f t="shared" si="3"/>
        <v>0</v>
      </c>
      <c r="AB31" s="7">
        <f t="shared" si="5"/>
        <v>0</v>
      </c>
      <c r="AC31" s="7">
        <f t="shared" si="5"/>
        <v>0</v>
      </c>
      <c r="AD31" s="7">
        <f t="shared" si="5"/>
        <v>0</v>
      </c>
      <c r="AE31" s="7">
        <f t="shared" si="4"/>
        <v>1</v>
      </c>
      <c r="AF31" s="7">
        <f t="shared" si="4"/>
        <v>0</v>
      </c>
      <c r="AG31" s="7">
        <f t="shared" si="4"/>
        <v>0</v>
      </c>
      <c r="AH31" s="7">
        <f t="shared" si="4"/>
        <v>1</v>
      </c>
      <c r="AI31" s="7">
        <f t="shared" si="4"/>
        <v>0</v>
      </c>
      <c r="AJ31" s="7">
        <f t="shared" si="4"/>
        <v>0</v>
      </c>
      <c r="AK31" s="7">
        <f t="shared" si="4"/>
        <v>1</v>
      </c>
      <c r="AL31" s="7">
        <f t="shared" si="4"/>
        <v>1</v>
      </c>
      <c r="AM31" s="7">
        <f t="shared" si="4"/>
        <v>0</v>
      </c>
      <c r="AN31" s="7">
        <f t="shared" si="4"/>
        <v>0</v>
      </c>
      <c r="AO31" s="7">
        <f t="shared" si="4"/>
        <v>0</v>
      </c>
      <c r="AP31" s="17">
        <f t="shared" si="2"/>
        <v>2.5</v>
      </c>
      <c r="AS31" s="56"/>
      <c r="AT31" t="s">
        <v>142</v>
      </c>
    </row>
    <row r="32" spans="1:46" ht="12.75" x14ac:dyDescent="0.2">
      <c r="A32" s="7" t="s">
        <v>106</v>
      </c>
      <c r="B32" s="16" t="s">
        <v>45</v>
      </c>
      <c r="C32" s="16" t="s">
        <v>48</v>
      </c>
      <c r="D32" s="16" t="s">
        <v>47</v>
      </c>
      <c r="E32" s="16" t="s">
        <v>47</v>
      </c>
      <c r="F32" s="16" t="s">
        <v>45</v>
      </c>
      <c r="G32" s="16" t="s">
        <v>45</v>
      </c>
      <c r="H32" s="16" t="s">
        <v>45</v>
      </c>
      <c r="I32" s="16" t="s">
        <v>48</v>
      </c>
      <c r="J32" s="16" t="s">
        <v>45</v>
      </c>
      <c r="K32" s="16" t="s">
        <v>47</v>
      </c>
      <c r="L32" s="16" t="s">
        <v>48</v>
      </c>
      <c r="M32" s="16" t="s">
        <v>46</v>
      </c>
      <c r="N32" s="16" t="s">
        <v>45</v>
      </c>
      <c r="O32" s="16" t="s">
        <v>48</v>
      </c>
      <c r="P32" s="16" t="s">
        <v>46</v>
      </c>
      <c r="Q32" s="16" t="s">
        <v>45</v>
      </c>
      <c r="R32" s="16" t="s">
        <v>47</v>
      </c>
      <c r="S32" s="16" t="s">
        <v>47</v>
      </c>
      <c r="T32" s="16" t="s">
        <v>45</v>
      </c>
      <c r="U32" s="16" t="s">
        <v>48</v>
      </c>
      <c r="V32" s="7">
        <f t="shared" si="3"/>
        <v>1</v>
      </c>
      <c r="W32" s="7">
        <f t="shared" si="3"/>
        <v>0</v>
      </c>
      <c r="X32" s="7">
        <f t="shared" si="3"/>
        <v>0</v>
      </c>
      <c r="Y32" s="7">
        <f t="shared" si="3"/>
        <v>1</v>
      </c>
      <c r="Z32" s="7">
        <f t="shared" si="3"/>
        <v>0</v>
      </c>
      <c r="AA32" s="7">
        <f t="shared" si="3"/>
        <v>1</v>
      </c>
      <c r="AB32" s="7">
        <f t="shared" si="5"/>
        <v>1</v>
      </c>
      <c r="AC32" s="7">
        <f t="shared" si="5"/>
        <v>0</v>
      </c>
      <c r="AD32" s="7">
        <f t="shared" si="5"/>
        <v>1</v>
      </c>
      <c r="AE32" s="7">
        <f t="shared" si="4"/>
        <v>0</v>
      </c>
      <c r="AF32" s="7">
        <f t="shared" si="4"/>
        <v>0</v>
      </c>
      <c r="AG32" s="7">
        <f t="shared" si="4"/>
        <v>0</v>
      </c>
      <c r="AH32" s="7">
        <f t="shared" si="4"/>
        <v>1</v>
      </c>
      <c r="AI32" s="7">
        <f t="shared" si="4"/>
        <v>0</v>
      </c>
      <c r="AJ32" s="7">
        <f t="shared" si="4"/>
        <v>0</v>
      </c>
      <c r="AK32" s="7">
        <f t="shared" si="4"/>
        <v>0</v>
      </c>
      <c r="AL32" s="7">
        <f t="shared" si="4"/>
        <v>0</v>
      </c>
      <c r="AM32" s="7">
        <f t="shared" si="4"/>
        <v>1</v>
      </c>
      <c r="AN32" s="7">
        <f t="shared" si="4"/>
        <v>0</v>
      </c>
      <c r="AO32" s="7">
        <f t="shared" si="4"/>
        <v>0</v>
      </c>
      <c r="AP32" s="17">
        <f t="shared" si="2"/>
        <v>2.75</v>
      </c>
      <c r="AS32" s="56"/>
      <c r="AT32" t="s">
        <v>142</v>
      </c>
    </row>
    <row r="33" spans="1:46" ht="12.75" x14ac:dyDescent="0.2">
      <c r="A33" s="7" t="s">
        <v>107</v>
      </c>
      <c r="B33" s="16" t="s">
        <v>47</v>
      </c>
      <c r="C33" s="16" t="s">
        <v>45</v>
      </c>
      <c r="D33" s="16" t="s">
        <v>47</v>
      </c>
      <c r="E33" s="16" t="s">
        <v>47</v>
      </c>
      <c r="F33" s="16" t="s">
        <v>47</v>
      </c>
      <c r="G33" s="16" t="s">
        <v>45</v>
      </c>
      <c r="H33" s="16" t="s">
        <v>48</v>
      </c>
      <c r="I33" s="16" t="s">
        <v>48</v>
      </c>
      <c r="J33" s="16" t="s">
        <v>45</v>
      </c>
      <c r="K33" s="16" t="s">
        <v>47</v>
      </c>
      <c r="L33" s="16" t="s">
        <v>48</v>
      </c>
      <c r="M33" s="16" t="s">
        <v>46</v>
      </c>
      <c r="N33" s="16" t="s">
        <v>48</v>
      </c>
      <c r="O33" s="16" t="s">
        <v>47</v>
      </c>
      <c r="P33" s="16" t="s">
        <v>47</v>
      </c>
      <c r="Q33" s="16" t="s">
        <v>45</v>
      </c>
      <c r="R33" s="16" t="s">
        <v>47</v>
      </c>
      <c r="S33" s="16" t="s">
        <v>47</v>
      </c>
      <c r="T33" s="16" t="s">
        <v>45</v>
      </c>
      <c r="U33" s="16" t="s">
        <v>47</v>
      </c>
      <c r="V33" s="7">
        <f t="shared" si="3"/>
        <v>0</v>
      </c>
      <c r="W33" s="7">
        <f t="shared" si="3"/>
        <v>1</v>
      </c>
      <c r="X33" s="7">
        <f t="shared" si="3"/>
        <v>0</v>
      </c>
      <c r="Y33" s="7">
        <f t="shared" si="3"/>
        <v>1</v>
      </c>
      <c r="Z33" s="7">
        <f t="shared" si="3"/>
        <v>1</v>
      </c>
      <c r="AA33" s="7">
        <f t="shared" si="3"/>
        <v>1</v>
      </c>
      <c r="AB33" s="7">
        <f t="shared" si="5"/>
        <v>0</v>
      </c>
      <c r="AC33" s="7">
        <f t="shared" si="5"/>
        <v>0</v>
      </c>
      <c r="AD33" s="7">
        <f t="shared" si="5"/>
        <v>1</v>
      </c>
      <c r="AE33" s="7">
        <f t="shared" si="4"/>
        <v>0</v>
      </c>
      <c r="AF33" s="7">
        <f t="shared" si="4"/>
        <v>0</v>
      </c>
      <c r="AG33" s="7">
        <f t="shared" si="4"/>
        <v>0</v>
      </c>
      <c r="AH33" s="7">
        <f t="shared" si="4"/>
        <v>0</v>
      </c>
      <c r="AI33" s="7">
        <f t="shared" si="4"/>
        <v>0</v>
      </c>
      <c r="AJ33" s="7">
        <f t="shared" si="4"/>
        <v>0</v>
      </c>
      <c r="AK33" s="7">
        <f t="shared" si="4"/>
        <v>0</v>
      </c>
      <c r="AL33" s="7">
        <f t="shared" si="4"/>
        <v>0</v>
      </c>
      <c r="AM33" s="7">
        <f t="shared" si="4"/>
        <v>1</v>
      </c>
      <c r="AN33" s="7">
        <f t="shared" si="4"/>
        <v>0</v>
      </c>
      <c r="AO33" s="7">
        <f t="shared" si="4"/>
        <v>0</v>
      </c>
      <c r="AP33" s="17">
        <f t="shared" si="2"/>
        <v>2.5</v>
      </c>
      <c r="AS33" s="56"/>
      <c r="AT33" t="s">
        <v>142</v>
      </c>
    </row>
    <row r="34" spans="1:46" ht="12.75" x14ac:dyDescent="0.2">
      <c r="A34" s="7" t="s">
        <v>108</v>
      </c>
      <c r="B34" s="16" t="s">
        <v>45</v>
      </c>
      <c r="C34" s="16" t="s">
        <v>47</v>
      </c>
      <c r="D34" s="16" t="s">
        <v>46</v>
      </c>
      <c r="E34" s="16" t="s">
        <v>45</v>
      </c>
      <c r="F34" s="16" t="s">
        <v>47</v>
      </c>
      <c r="G34" s="16" t="s">
        <v>47</v>
      </c>
      <c r="H34" s="16" t="s">
        <v>48</v>
      </c>
      <c r="I34" s="16" t="s">
        <v>48</v>
      </c>
      <c r="J34" s="16" t="s">
        <v>47</v>
      </c>
      <c r="K34" s="16" t="s">
        <v>46</v>
      </c>
      <c r="L34" s="16" t="s">
        <v>47</v>
      </c>
      <c r="M34" s="16" t="s">
        <v>48</v>
      </c>
      <c r="N34" s="16" t="s">
        <v>47</v>
      </c>
      <c r="O34" s="16" t="s">
        <v>48</v>
      </c>
      <c r="P34" s="16" t="s">
        <v>47</v>
      </c>
      <c r="Q34" s="16" t="s">
        <v>46</v>
      </c>
      <c r="R34" s="16" t="s">
        <v>45</v>
      </c>
      <c r="S34" s="16" t="s">
        <v>45</v>
      </c>
      <c r="T34" s="16" t="s">
        <v>45</v>
      </c>
      <c r="U34" s="16" t="s">
        <v>46</v>
      </c>
      <c r="V34" s="7">
        <f t="shared" si="3"/>
        <v>1</v>
      </c>
      <c r="W34" s="7">
        <f t="shared" si="3"/>
        <v>0</v>
      </c>
      <c r="X34" s="7">
        <f t="shared" si="3"/>
        <v>1</v>
      </c>
      <c r="Y34" s="7">
        <f t="shared" si="3"/>
        <v>0</v>
      </c>
      <c r="Z34" s="7">
        <f t="shared" si="3"/>
        <v>1</v>
      </c>
      <c r="AA34" s="7">
        <f t="shared" si="3"/>
        <v>0</v>
      </c>
      <c r="AB34" s="7">
        <f t="shared" si="5"/>
        <v>0</v>
      </c>
      <c r="AC34" s="7">
        <f t="shared" si="5"/>
        <v>0</v>
      </c>
      <c r="AD34" s="7">
        <f t="shared" si="5"/>
        <v>0</v>
      </c>
      <c r="AE34" s="7">
        <f t="shared" si="4"/>
        <v>0</v>
      </c>
      <c r="AF34" s="7">
        <f t="shared" si="4"/>
        <v>0</v>
      </c>
      <c r="AG34" s="7">
        <f t="shared" si="4"/>
        <v>1</v>
      </c>
      <c r="AH34" s="7">
        <f t="shared" si="4"/>
        <v>0</v>
      </c>
      <c r="AI34" s="7">
        <f t="shared" si="4"/>
        <v>0</v>
      </c>
      <c r="AJ34" s="7">
        <f t="shared" si="4"/>
        <v>0</v>
      </c>
      <c r="AK34" s="7">
        <f t="shared" si="4"/>
        <v>1</v>
      </c>
      <c r="AL34" s="7">
        <f t="shared" si="4"/>
        <v>1</v>
      </c>
      <c r="AM34" s="7">
        <f t="shared" si="4"/>
        <v>0</v>
      </c>
      <c r="AN34" s="7">
        <f t="shared" si="4"/>
        <v>0</v>
      </c>
      <c r="AO34" s="7">
        <f t="shared" si="4"/>
        <v>1</v>
      </c>
      <c r="AP34" s="17">
        <f t="shared" si="2"/>
        <v>2.75</v>
      </c>
      <c r="AS34" s="56"/>
      <c r="AT34" t="s">
        <v>142</v>
      </c>
    </row>
    <row r="35" spans="1:46" ht="13.5" thickBot="1" x14ac:dyDescent="0.25">
      <c r="A35" s="7" t="s">
        <v>143</v>
      </c>
      <c r="B35" s="16" t="s">
        <v>47</v>
      </c>
      <c r="C35" s="16" t="s">
        <v>46</v>
      </c>
      <c r="D35" s="16" t="s">
        <v>46</v>
      </c>
      <c r="E35" s="16" t="s">
        <v>48</v>
      </c>
      <c r="F35" s="16" t="s">
        <v>45</v>
      </c>
      <c r="G35" s="16" t="s">
        <v>47</v>
      </c>
      <c r="H35" s="16" t="s">
        <v>46</v>
      </c>
      <c r="I35" s="16" t="s">
        <v>46</v>
      </c>
      <c r="J35" s="16" t="s">
        <v>47</v>
      </c>
      <c r="K35" s="16" t="s">
        <v>45</v>
      </c>
      <c r="L35" s="16" t="s">
        <v>47</v>
      </c>
      <c r="M35" s="16" t="s">
        <v>48</v>
      </c>
      <c r="N35" s="16" t="s">
        <v>48</v>
      </c>
      <c r="O35" s="16" t="s">
        <v>47</v>
      </c>
      <c r="P35" s="16" t="s">
        <v>46</v>
      </c>
      <c r="Q35" s="16" t="s">
        <v>47</v>
      </c>
      <c r="R35" s="16" t="s">
        <v>46</v>
      </c>
      <c r="S35" s="16" t="s">
        <v>48</v>
      </c>
      <c r="T35" s="16" t="s">
        <v>46</v>
      </c>
      <c r="U35" s="16" t="s">
        <v>45</v>
      </c>
      <c r="V35" s="7">
        <f t="shared" si="3"/>
        <v>0</v>
      </c>
      <c r="W35" s="7">
        <f t="shared" si="3"/>
        <v>0</v>
      </c>
      <c r="X35" s="7">
        <f t="shared" si="3"/>
        <v>1</v>
      </c>
      <c r="Y35" s="7">
        <f t="shared" si="3"/>
        <v>0</v>
      </c>
      <c r="Z35" s="7">
        <f t="shared" si="3"/>
        <v>0</v>
      </c>
      <c r="AA35" s="7">
        <f t="shared" si="3"/>
        <v>0</v>
      </c>
      <c r="AB35" s="7">
        <f t="shared" si="5"/>
        <v>0</v>
      </c>
      <c r="AC35" s="7">
        <f t="shared" si="5"/>
        <v>0</v>
      </c>
      <c r="AD35" s="7">
        <f t="shared" si="5"/>
        <v>0</v>
      </c>
      <c r="AE35" s="7">
        <f t="shared" si="4"/>
        <v>1</v>
      </c>
      <c r="AF35" s="7">
        <f t="shared" si="4"/>
        <v>0</v>
      </c>
      <c r="AG35" s="7">
        <f t="shared" si="4"/>
        <v>1</v>
      </c>
      <c r="AH35" s="7">
        <f t="shared" si="4"/>
        <v>0</v>
      </c>
      <c r="AI35" s="7">
        <f t="shared" si="4"/>
        <v>0</v>
      </c>
      <c r="AJ35" s="7">
        <f t="shared" si="4"/>
        <v>0</v>
      </c>
      <c r="AK35" s="7">
        <f t="shared" si="4"/>
        <v>0</v>
      </c>
      <c r="AL35" s="7">
        <f t="shared" si="4"/>
        <v>0</v>
      </c>
      <c r="AM35" s="7">
        <f t="shared" si="4"/>
        <v>0</v>
      </c>
      <c r="AN35" s="7">
        <f t="shared" si="4"/>
        <v>0</v>
      </c>
      <c r="AO35" s="7">
        <f t="shared" si="4"/>
        <v>0</v>
      </c>
      <c r="AP35" s="17">
        <f t="shared" si="2"/>
        <v>1.75</v>
      </c>
      <c r="AS35" s="57"/>
      <c r="AT35" t="s">
        <v>142</v>
      </c>
    </row>
    <row r="36" spans="1:46" ht="15.75" customHeight="1" thickBot="1" x14ac:dyDescent="0.2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18">
        <f t="shared" ref="V36:AO36" si="6">SUM(V4:V35)</f>
        <v>19</v>
      </c>
      <c r="W36" s="18">
        <f t="shared" si="6"/>
        <v>6</v>
      </c>
      <c r="X36" s="18">
        <f t="shared" si="6"/>
        <v>10</v>
      </c>
      <c r="Y36" s="18">
        <f t="shared" si="6"/>
        <v>9</v>
      </c>
      <c r="Z36" s="18">
        <f t="shared" si="6"/>
        <v>15</v>
      </c>
      <c r="AA36" s="18">
        <f t="shared" si="6"/>
        <v>15</v>
      </c>
      <c r="AB36" s="18">
        <f t="shared" si="6"/>
        <v>5</v>
      </c>
      <c r="AC36" s="18">
        <f t="shared" si="6"/>
        <v>5</v>
      </c>
      <c r="AD36" s="18">
        <f t="shared" si="6"/>
        <v>13</v>
      </c>
      <c r="AE36" s="18">
        <f t="shared" si="6"/>
        <v>6</v>
      </c>
      <c r="AF36" s="18">
        <f t="shared" si="6"/>
        <v>7</v>
      </c>
      <c r="AG36" s="18">
        <f t="shared" si="6"/>
        <v>6</v>
      </c>
      <c r="AH36" s="18">
        <f t="shared" si="6"/>
        <v>9</v>
      </c>
      <c r="AI36" s="18">
        <f t="shared" si="6"/>
        <v>2</v>
      </c>
      <c r="AJ36" s="18">
        <f t="shared" si="6"/>
        <v>4</v>
      </c>
      <c r="AK36" s="18">
        <f t="shared" si="6"/>
        <v>7</v>
      </c>
      <c r="AL36" s="18">
        <f t="shared" si="6"/>
        <v>4</v>
      </c>
      <c r="AM36" s="18">
        <f t="shared" si="6"/>
        <v>15</v>
      </c>
      <c r="AN36" s="18">
        <f t="shared" si="6"/>
        <v>2</v>
      </c>
      <c r="AO36" s="18">
        <f t="shared" si="6"/>
        <v>5</v>
      </c>
      <c r="AP36" s="48">
        <f>AVERAGE(AP4:AP35)</f>
        <v>2.28125</v>
      </c>
      <c r="AQ36" s="53" t="s">
        <v>177</v>
      </c>
      <c r="AR36" s="54"/>
    </row>
    <row r="50" spans="23:23" ht="12.75" x14ac:dyDescent="0.2">
      <c r="W50" s="1"/>
    </row>
  </sheetData>
  <mergeCells count="3">
    <mergeCell ref="AS24:AS35"/>
    <mergeCell ref="A36:U36"/>
    <mergeCell ref="AQ36:AR3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3</vt:lpstr>
      <vt:lpstr>uno</vt:lpstr>
      <vt:lpstr>Grado 9a</vt:lpstr>
      <vt:lpstr>Grado 10a</vt:lpstr>
      <vt:lpstr>Grado 10b</vt:lpstr>
      <vt:lpstr>Grado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OSIRIS DEL CARMEN POLO BOLANO</cp:lastModifiedBy>
  <cp:lastPrinted>2023-10-31T09:38:08Z</cp:lastPrinted>
  <dcterms:created xsi:type="dcterms:W3CDTF">2022-10-04T03:33:11Z</dcterms:created>
  <dcterms:modified xsi:type="dcterms:W3CDTF">2023-10-31T09:38:10Z</dcterms:modified>
</cp:coreProperties>
</file>